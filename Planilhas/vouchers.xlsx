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ilha1" sheetId="1" r:id="rId5"/>
    <sheet state="visible" name="VOUCHER" sheetId="2" r:id="rId6"/>
    <sheet state="visible" name="VAGAS SEGUNDA" sheetId="3" r:id="rId7"/>
    <sheet state="visible" name="VAGAS TERÇA" sheetId="4" r:id="rId8"/>
    <sheet state="visible" name="VAGAS QUARTA" sheetId="5" r:id="rId9"/>
    <sheet state="visible" name="VAGAS QUINTA" sheetId="6" r:id="rId10"/>
    <sheet state="visible" name="VAGAS SEXTA" sheetId="7" r:id="rId11"/>
    <sheet state="visible" name="VAGAS SÁBADO" sheetId="8" r:id="rId12"/>
  </sheets>
  <definedNames/>
  <calcPr/>
</workbook>
</file>

<file path=xl/sharedStrings.xml><?xml version="1.0" encoding="utf-8"?>
<sst xmlns="http://schemas.openxmlformats.org/spreadsheetml/2006/main" count="805" uniqueCount="145">
  <si>
    <t>CÓDIGO</t>
  </si>
  <si>
    <t>NOME DO ALUNO</t>
  </si>
  <si>
    <t>CURSO</t>
  </si>
  <si>
    <t>MÓDULO</t>
  </si>
  <si>
    <t>MATERIAL PAGO?</t>
  </si>
  <si>
    <t>ENTREGUE?</t>
  </si>
  <si>
    <t>VOUCHER</t>
  </si>
  <si>
    <t>VOUCHER UTILIZADO?</t>
  </si>
  <si>
    <t>ANDERSON RIBEIRO CESARINO</t>
  </si>
  <si>
    <t>MÓD. ÚNICO</t>
  </si>
  <si>
    <t>NÃO</t>
  </si>
  <si>
    <t>SIM</t>
  </si>
  <si>
    <t>GUILHERME DOS REIS ALMEIDA</t>
  </si>
  <si>
    <t>DES. GAMES I</t>
  </si>
  <si>
    <t>D.G.I. LÓG. PROG</t>
  </si>
  <si>
    <t>D.G.I. KODU GAME</t>
  </si>
  <si>
    <t>D.G.I. SCRATCH</t>
  </si>
  <si>
    <t>D.G.I. ROBLOX</t>
  </si>
  <si>
    <t>D.G.I MINECRAFT</t>
  </si>
  <si>
    <t>JULIO CESAR OLIVEIRA BATISTA</t>
  </si>
  <si>
    <t>ROB. FASES</t>
  </si>
  <si>
    <t>PAULO RAFAEL SILVA CARNEIRO</t>
  </si>
  <si>
    <t>DES. GAMES 3D</t>
  </si>
  <si>
    <t>D.G.3D. MOD. I</t>
  </si>
  <si>
    <t>A32F933F74314DFBA8FE1</t>
  </si>
  <si>
    <t>D.G.3D. MOD. II</t>
  </si>
  <si>
    <t>69B05643CBF541599AD2E</t>
  </si>
  <si>
    <t>JOAQUIN BITENCOURT CRUZ CARNEIRO MATEUS</t>
  </si>
  <si>
    <t>ROBOGAME</t>
  </si>
  <si>
    <t>ALICE BITTENCOURT CRUZ CARNEIRO MATEUS</t>
  </si>
  <si>
    <t>121F2B73DE8F47BDA475F</t>
  </si>
  <si>
    <t>JOÃO PEDRO FERREIRA DE OLIVEIRA</t>
  </si>
  <si>
    <t>FERNANDO RAMOS SANTANA</t>
  </si>
  <si>
    <t>ENZO NASCIMENTO CARNEIRO</t>
  </si>
  <si>
    <t>BERNARDO GORDIANO</t>
  </si>
  <si>
    <t>ENZO DANIEL SAMPAIO FERREIRA</t>
  </si>
  <si>
    <t>VERNER MONITOR MICROBOT</t>
  </si>
  <si>
    <t>DAVI SANTANA AMANCIO MASCARENHAS</t>
  </si>
  <si>
    <t>DAVI SOUZA DE LIMA</t>
  </si>
  <si>
    <t>BERNARDO ARAUJO SANTIAGO CIRINO</t>
  </si>
  <si>
    <t>ALICE SANTOS CARNEIRO</t>
  </si>
  <si>
    <t>GABRIEL SANTOS CARNEIRO</t>
  </si>
  <si>
    <t>GUSTAVO SANTOS CARNEIRO</t>
  </si>
  <si>
    <t>VICENTE MARQUES DOURADO DEREA</t>
  </si>
  <si>
    <t>7390E7A5A5464980A79AD</t>
  </si>
  <si>
    <t xml:space="preserve">MIGUEL CARNEIRO DOS SANTOS </t>
  </si>
  <si>
    <t>MIGUEL ARAÚJO SILVA</t>
  </si>
  <si>
    <t>ALICE ARAÚJO SILVA</t>
  </si>
  <si>
    <t xml:space="preserve">GABRIEL SANTANA DOS SANTOS </t>
  </si>
  <si>
    <t>LARA CAMILLY FERREIRA COSTA</t>
  </si>
  <si>
    <t>AUGUSTO LIMA CESARINO</t>
  </si>
  <si>
    <t>PROFESSOR MICROBOT</t>
  </si>
  <si>
    <t>HEITOR BARUC SOUZA</t>
  </si>
  <si>
    <t>MARIA LIS ALMEIDA SILVA</t>
  </si>
  <si>
    <t>ERICK ALMEIDA SILVA</t>
  </si>
  <si>
    <t>ENZO GABRIEL SILVA FERREIRA DE FREITAS</t>
  </si>
  <si>
    <t>GESTÃO DE MATERIAL DIDÁTICO POR ALUNO</t>
  </si>
  <si>
    <t>MAT. PAGO?</t>
  </si>
  <si>
    <t>MAT. COMPRADO?</t>
  </si>
  <si>
    <t>MAT. ENTREGUE?</t>
  </si>
  <si>
    <t>VOUCHER USADO?</t>
  </si>
  <si>
    <t>30.</t>
  </si>
  <si>
    <t>ROB. LEVEL-UP</t>
  </si>
  <si>
    <t>BD426DFD25DD4D63ABE2C</t>
  </si>
  <si>
    <t>10.</t>
  </si>
  <si>
    <t>22.</t>
  </si>
  <si>
    <t>ROB. ARDUINO</t>
  </si>
  <si>
    <t>7E2FDA67AA65469CBF870</t>
  </si>
  <si>
    <t>0000.45</t>
  </si>
  <si>
    <t>ARTHUR LIMA DE OLIVEIRA</t>
  </si>
  <si>
    <t>ROB. STARTER</t>
  </si>
  <si>
    <t>20.</t>
  </si>
  <si>
    <t>BERNARDO ARAÚJO SANTIAGO CIRINO</t>
  </si>
  <si>
    <t>14.</t>
  </si>
  <si>
    <t>E847E53234454569AEFEC</t>
  </si>
  <si>
    <t>0000.41</t>
  </si>
  <si>
    <t>DAVI MIGUEL LOPES DE ALMEIDA</t>
  </si>
  <si>
    <t>25.</t>
  </si>
  <si>
    <t>5EB26B9B1F7A4E7494488</t>
  </si>
  <si>
    <t>1.9</t>
  </si>
  <si>
    <t>13.</t>
  </si>
  <si>
    <t>7726DC7508BF4B35B8A9F</t>
  </si>
  <si>
    <t>0000.13</t>
  </si>
  <si>
    <t>37.</t>
  </si>
  <si>
    <t>0F6FAC7020BF4D3B8DABB</t>
  </si>
  <si>
    <t>12.</t>
  </si>
  <si>
    <t>E43BA0FCC6F54831A6C00</t>
  </si>
  <si>
    <t>57F30E850BF34CC885045</t>
  </si>
  <si>
    <t>0000.12</t>
  </si>
  <si>
    <t>0000.36</t>
  </si>
  <si>
    <t>0000.42</t>
  </si>
  <si>
    <t>56D92DE96E4F4C5E98778</t>
  </si>
  <si>
    <t xml:space="preserve">FILIPE RIOS DE LIMA </t>
  </si>
  <si>
    <t>367239B2D9E54B099A5A9</t>
  </si>
  <si>
    <t>95030E4A613747389A9EF</t>
  </si>
  <si>
    <t>5AC47E7534904D2E9A88C</t>
  </si>
  <si>
    <t>3E6ED54068E8401594B39</t>
  </si>
  <si>
    <t>0000.3</t>
  </si>
  <si>
    <t>D3B522B87D8E406D85568</t>
  </si>
  <si>
    <t>FA99FFA9A9F640EFBBCB7</t>
  </si>
  <si>
    <t>A8F01DD79A044CDB90582</t>
  </si>
  <si>
    <t>D9378C24D717471A9A937</t>
  </si>
  <si>
    <t>LUIZ OSCAR SILVA OLIVEIRA</t>
  </si>
  <si>
    <t>44CBA43D7F80466A924DF</t>
  </si>
  <si>
    <t>1F2ED3BD45014DD68EBF5</t>
  </si>
  <si>
    <t>53357248E6D44EB195366</t>
  </si>
  <si>
    <t>RAFAEL STUTZ FERREIRA</t>
  </si>
  <si>
    <t>29B1C3141811462FB68F9</t>
  </si>
  <si>
    <t>VICENTE MARQUES DOURADO DOREA</t>
  </si>
  <si>
    <t>NOVOS ALUNOS</t>
  </si>
  <si>
    <t>DACADF2A38A34944A9BF7</t>
  </si>
  <si>
    <t>SEUNDA - 8H ÀS 10H</t>
  </si>
  <si>
    <t>SEUNDA - 10H ÀS 12H</t>
  </si>
  <si>
    <t>SEUNDA - 13H ÀS 15H</t>
  </si>
  <si>
    <t>SEUNDA - 15H ÀS 17H</t>
  </si>
  <si>
    <t>ALUNO</t>
  </si>
  <si>
    <t>ROBÓTICA STARTER</t>
  </si>
  <si>
    <t>ROBÓTICA LEVEL UP</t>
  </si>
  <si>
    <t>ROBÓTICA ARDUINO</t>
  </si>
  <si>
    <t>ROBÓTICA FASES</t>
  </si>
  <si>
    <t>LEGOBOT</t>
  </si>
  <si>
    <t>DESENVOLVIMENTO DE GAMES I</t>
  </si>
  <si>
    <t>DESENVOLVIMENTO DE GAMES II</t>
  </si>
  <si>
    <t>DESENVOLVIMENTO DE GMES 3D</t>
  </si>
  <si>
    <t>TERÇA - 8H ÀS 10H</t>
  </si>
  <si>
    <t>TERÇA - 10H ÀS 12H</t>
  </si>
  <si>
    <t>TERÇA - 13H ÀS 15H</t>
  </si>
  <si>
    <t>TERÇA - 15H ÀS 17H</t>
  </si>
  <si>
    <t>QUARTA - 8H ÀS 10H</t>
  </si>
  <si>
    <t>QUARTA - 10H ÀS 12H</t>
  </si>
  <si>
    <t>QUARTA - 13H ÀS 15H</t>
  </si>
  <si>
    <t>QUARTA - 15H ÀS 17H</t>
  </si>
  <si>
    <t>ENZO DANIEL</t>
  </si>
  <si>
    <t>DAVI SANTANA</t>
  </si>
  <si>
    <t>FERNANDO</t>
  </si>
  <si>
    <t>QUINTA - 8H ÀS 10H</t>
  </si>
  <si>
    <t>QUINTA - 10H ÀS 12H</t>
  </si>
  <si>
    <t>QUINTA - 13H ÀS 15H</t>
  </si>
  <si>
    <t>QUINTA - 15H ÀS 17H</t>
  </si>
  <si>
    <t>SEXTA - 8H ÀS 10H</t>
  </si>
  <si>
    <t>SEXTA - 10H ÀS 12H</t>
  </si>
  <si>
    <t>SEXTA - 13H ÀS 15H</t>
  </si>
  <si>
    <t>SEXTA - 15H ÀS 17H</t>
  </si>
  <si>
    <t>SÁBADO - 8H ÀS 10H</t>
  </si>
  <si>
    <t>SÁBADO - 10H ÀS 12H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</si>
</sst>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[$R$-416]\ * #,##0.00_-;\-[$R$-416]\ * #,##0.00_-;_-[$R$-416]\ * &quot;-&quot;??_-;_-@"/>
  </numFmts>
  <fonts count="10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FFFFF"/>
      <name val="Arial"/>
    </font>
    <font>
      <sz val="11.0"/>
      <color theme="1"/>
      <name val="Arial"/>
    </font>
    <font>
      <b/>
      <sz val="11.0"/>
      <color theme="1"/>
      <name val="Arial"/>
    </font>
    <font>
      <sz val="11.0"/>
      <color theme="0"/>
      <name val="Calibri"/>
    </font>
    <font>
      <b/>
      <sz val="12.0"/>
      <color theme="1"/>
      <name val="Arial"/>
    </font>
    <font>
      <b/>
      <sz val="11.0"/>
      <color theme="0"/>
      <name val="Arial"/>
    </font>
    <font>
      <b/>
      <sz val="12.0"/>
      <color theme="1"/>
      <name val="Calibri"/>
    </font>
  </fonts>
  <fills count="22">
    <fill>
      <patternFill patternType="none"/>
    </fill>
    <fill>
      <patternFill patternType="lightGray"/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7"/>
        <bgColor theme="7"/>
      </patternFill>
    </fill>
    <fill>
      <patternFill patternType="solid">
        <fgColor rgb="FFD6DCE4"/>
        <bgColor rgb="FFD6DCE4"/>
      </patternFill>
    </fill>
    <fill>
      <patternFill patternType="solid">
        <fgColor rgb="FFA8D08D"/>
        <bgColor rgb="FFA8D08D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4"/>
        <bgColor theme="4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B4C6E7"/>
        <bgColor rgb="FFB4C6E7"/>
      </patternFill>
    </fill>
  </fills>
  <borders count="3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2E75B5"/>
      </left>
      <right style="thin">
        <color rgb="FF2E75B5"/>
      </right>
      <top style="thin">
        <color rgb="FF2E75B5"/>
      </top>
      <bottom style="thin">
        <color rgb="FF2E75B5"/>
      </bottom>
    </border>
    <border>
      <left style="thin">
        <color rgb="FF2E75B5"/>
      </left>
      <top style="thin">
        <color rgb="FF2E75B5"/>
      </top>
      <bottom style="thin">
        <color rgb="FF2E75B5"/>
      </bottom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</border>
    <border>
      <left/>
      <right/>
      <top style="medium">
        <color rgb="FF2E75B5"/>
      </top>
      <bottom style="medium">
        <color rgb="FF2E75B5"/>
      </bottom>
    </border>
    <border>
      <top style="medium">
        <color rgb="FF2E75B5"/>
      </top>
      <bottom style="medium">
        <color rgb="FF2E75B5"/>
      </bottom>
    </border>
    <border>
      <left style="thin">
        <color rgb="FF2E75B5"/>
      </left>
      <right style="thin">
        <color rgb="FF2E75B5"/>
      </right>
      <top style="thin">
        <color rgb="FF2E75B5"/>
      </top>
    </border>
    <border>
      <left style="thin">
        <color rgb="FF2E75B5"/>
      </left>
      <top style="thin">
        <color rgb="FF2E75B5"/>
      </top>
    </border>
    <border>
      <left/>
      <right/>
      <top style="medium">
        <color rgb="FF2E75B5"/>
      </top>
      <bottom/>
    </border>
    <border>
      <left style="medium">
        <color rgb="FF002060"/>
      </left>
      <right style="medium">
        <color rgb="FF002060"/>
      </right>
      <top style="medium">
        <color rgb="FF002060"/>
      </top>
    </border>
    <border>
      <left style="medium">
        <color rgb="FF2E75B5"/>
      </left>
      <right style="medium">
        <color rgb="FF2E75B5"/>
      </right>
      <top style="medium">
        <color rgb="FF2E75B5"/>
      </top>
      <bottom/>
    </border>
    <border>
      <left style="medium">
        <color rgb="FF2E75B5"/>
      </left>
      <right style="medium">
        <color rgb="FF2E75B5"/>
      </right>
      <top style="medium">
        <color rgb="FF2E75B5"/>
      </top>
    </border>
    <border>
      <left style="medium">
        <color rgb="FF2E75B5"/>
      </left>
      <right style="medium">
        <color rgb="FF2E75B5"/>
      </right>
      <top style="medium">
        <color rgb="FF2E75B5"/>
      </top>
      <bottom style="medium">
        <color rgb="FF2E75B5"/>
      </bottom>
    </border>
    <border>
      <left style="medium">
        <color rgb="FF002060"/>
      </left>
      <right style="medium">
        <color rgb="FF002060"/>
      </right>
      <top style="medium">
        <color rgb="FF002060"/>
      </top>
      <bottom/>
    </border>
    <border>
      <left style="thin">
        <color rgb="FF2E75B5"/>
      </left>
      <right style="thin">
        <color rgb="FF2E75B5"/>
      </right>
      <top style="thin">
        <color rgb="FF2E75B5"/>
      </top>
      <bottom/>
    </border>
    <border>
      <right style="thin">
        <color rgb="FF2E75B5"/>
      </right>
      <top style="thin">
        <color rgb="FF2E75B5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left"/>
    </xf>
    <xf borderId="1" fillId="4" fontId="1" numFmtId="0" xfId="0" applyAlignment="1" applyBorder="1" applyFill="1" applyFont="1">
      <alignment horizontal="center"/>
    </xf>
    <xf borderId="1" fillId="4" fontId="1" numFmtId="0" xfId="0" applyAlignment="1" applyBorder="1" applyFont="1">
      <alignment horizontal="left"/>
    </xf>
    <xf borderId="1" fillId="5" fontId="1" numFmtId="0" xfId="0" applyAlignment="1" applyBorder="1" applyFill="1" applyFont="1">
      <alignment horizontal="center"/>
    </xf>
    <xf borderId="1" fillId="5" fontId="1" numFmtId="0" xfId="0" applyAlignment="1" applyBorder="1" applyFont="1">
      <alignment horizontal="left"/>
    </xf>
    <xf borderId="1" fillId="6" fontId="1" numFmtId="0" xfId="0" applyAlignment="1" applyBorder="1" applyFill="1" applyFont="1">
      <alignment horizontal="center"/>
    </xf>
    <xf borderId="1" fillId="6" fontId="1" numFmtId="0" xfId="0" applyAlignment="1" applyBorder="1" applyFont="1">
      <alignment horizontal="left"/>
    </xf>
    <xf borderId="1" fillId="7" fontId="1" numFmtId="0" xfId="0" applyAlignment="1" applyBorder="1" applyFill="1" applyFont="1">
      <alignment horizontal="center"/>
    </xf>
    <xf borderId="1" fillId="7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left"/>
    </xf>
    <xf borderId="2" fillId="7" fontId="2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6" fillId="8" fontId="4" numFmtId="0" xfId="0" applyAlignment="1" applyBorder="1" applyFill="1" applyFont="1">
      <alignment horizontal="center"/>
    </xf>
    <xf borderId="7" fillId="0" fontId="4" numFmtId="0" xfId="0" applyAlignment="1" applyBorder="1" applyFont="1">
      <alignment horizontal="center"/>
    </xf>
    <xf borderId="2" fillId="5" fontId="1" numFmtId="0" xfId="0" applyBorder="1" applyFont="1"/>
    <xf borderId="0" fillId="0" fontId="1" numFmtId="0" xfId="0" applyAlignment="1" applyFont="1">
      <alignment vertical="center"/>
    </xf>
    <xf borderId="3" fillId="0" fontId="1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9" fillId="0" fontId="4" numFmtId="0" xfId="0" applyAlignment="1" applyBorder="1" applyFont="1">
      <alignment horizontal="center"/>
    </xf>
    <xf borderId="10" fillId="8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/>
    </xf>
    <xf borderId="12" fillId="9" fontId="4" numFmtId="0" xfId="0" applyAlignment="1" applyBorder="1" applyFont="1">
      <alignment horizontal="center"/>
    </xf>
    <xf borderId="13" fillId="0" fontId="4" numFmtId="0" xfId="0" applyAlignment="1" applyBorder="1" applyFont="1">
      <alignment horizontal="center"/>
    </xf>
    <xf borderId="12" fillId="8" fontId="4" numFmtId="0" xfId="0" applyAlignment="1" applyBorder="1" applyFont="1">
      <alignment horizontal="center"/>
    </xf>
    <xf borderId="3" fillId="0" fontId="4" numFmtId="164" xfId="0" applyAlignment="1" applyBorder="1" applyFont="1" applyNumberFormat="1">
      <alignment horizontal="center"/>
    </xf>
    <xf borderId="14" fillId="0" fontId="4" numFmtId="0" xfId="0" applyAlignment="1" applyBorder="1" applyFont="1">
      <alignment horizontal="center"/>
    </xf>
    <xf borderId="15" fillId="8" fontId="4" numFmtId="0" xfId="0" applyAlignment="1" applyBorder="1" applyFont="1">
      <alignment horizontal="center"/>
    </xf>
    <xf borderId="15" fillId="9" fontId="4" numFmtId="0" xfId="0" applyAlignment="1" applyBorder="1" applyFont="1">
      <alignment horizontal="center"/>
    </xf>
    <xf borderId="5" fillId="8" fontId="4" numFmtId="0" xfId="0" applyAlignment="1" applyBorder="1" applyFont="1">
      <alignment horizontal="center"/>
    </xf>
    <xf borderId="14" fillId="8" fontId="4" numFmtId="0" xfId="0" applyAlignment="1" applyBorder="1" applyFont="1">
      <alignment horizontal="center"/>
    </xf>
    <xf borderId="14" fillId="9" fontId="4" numFmtId="0" xfId="0" applyAlignment="1" applyBorder="1" applyFont="1">
      <alignment horizontal="center"/>
    </xf>
    <xf borderId="5" fillId="9" fontId="4" numFmtId="0" xfId="0" applyAlignment="1" applyBorder="1" applyFont="1">
      <alignment horizontal="center"/>
    </xf>
    <xf borderId="16" fillId="10" fontId="4" numFmtId="0" xfId="0" applyAlignment="1" applyBorder="1" applyFill="1" applyFont="1">
      <alignment horizontal="center"/>
    </xf>
    <xf borderId="16" fillId="10" fontId="4" numFmtId="164" xfId="0" applyAlignment="1" applyBorder="1" applyFont="1" applyNumberFormat="1">
      <alignment horizontal="center"/>
    </xf>
    <xf borderId="15" fillId="10" fontId="4" numFmtId="0" xfId="0" applyAlignment="1" applyBorder="1" applyFont="1">
      <alignment horizontal="center"/>
    </xf>
    <xf borderId="12" fillId="10" fontId="5" numFmtId="0" xfId="0" applyAlignment="1" applyBorder="1" applyFont="1">
      <alignment horizontal="center"/>
    </xf>
    <xf borderId="2" fillId="7" fontId="2" numFmtId="0" xfId="0" applyAlignment="1" applyBorder="1" applyFont="1">
      <alignment horizontal="center"/>
    </xf>
    <xf borderId="13" fillId="0" fontId="5" numFmtId="0" xfId="0" applyAlignment="1" applyBorder="1" applyFont="1">
      <alignment horizontal="center"/>
    </xf>
    <xf borderId="17" fillId="0" fontId="4" numFmtId="164" xfId="0" applyAlignment="1" applyBorder="1" applyFont="1" applyNumberFormat="1">
      <alignment horizontal="center"/>
    </xf>
    <xf borderId="0" fillId="0" fontId="1" numFmtId="0" xfId="0" applyAlignment="1" applyFont="1">
      <alignment horizontal="center"/>
    </xf>
    <xf borderId="0" fillId="0" fontId="6" numFmtId="0" xfId="0" applyFont="1"/>
    <xf borderId="2" fillId="11" fontId="1" numFmtId="0" xfId="0" applyBorder="1" applyFill="1" applyFont="1"/>
    <xf borderId="18" fillId="7" fontId="7" numFmtId="0" xfId="0" applyAlignment="1" applyBorder="1" applyFont="1">
      <alignment horizontal="center"/>
    </xf>
    <xf borderId="2" fillId="11" fontId="1" numFmtId="0" xfId="0" applyAlignment="1" applyBorder="1" applyFont="1">
      <alignment horizontal="center"/>
    </xf>
    <xf borderId="2" fillId="11" fontId="6" numFmtId="0" xfId="0" applyBorder="1" applyFont="1"/>
    <xf borderId="18" fillId="12" fontId="7" numFmtId="0" xfId="0" applyAlignment="1" applyBorder="1" applyFill="1" applyFont="1">
      <alignment horizontal="center"/>
    </xf>
    <xf borderId="18" fillId="13" fontId="7" numFmtId="0" xfId="0" applyAlignment="1" applyBorder="1" applyFill="1" applyFont="1">
      <alignment horizontal="center"/>
    </xf>
    <xf borderId="18" fillId="14" fontId="7" numFmtId="0" xfId="0" applyAlignment="1" applyBorder="1" applyFill="1" applyFont="1">
      <alignment horizontal="center"/>
    </xf>
    <xf borderId="19" fillId="15" fontId="8" numFmtId="0" xfId="0" applyAlignment="1" applyBorder="1" applyFill="1" applyFont="1">
      <alignment horizontal="center"/>
    </xf>
    <xf borderId="20" fillId="15" fontId="8" numFmtId="0" xfId="0" applyAlignment="1" applyBorder="1" applyFont="1">
      <alignment horizontal="center"/>
    </xf>
    <xf borderId="21" fillId="0" fontId="1" numFmtId="0" xfId="0" applyAlignment="1" applyBorder="1" applyFont="1">
      <alignment horizontal="center"/>
    </xf>
    <xf borderId="22" fillId="0" fontId="4" numFmtId="0" xfId="0" applyAlignment="1" applyBorder="1" applyFont="1">
      <alignment horizontal="center"/>
    </xf>
    <xf borderId="23" fillId="0" fontId="1" numFmtId="0" xfId="0" applyAlignment="1" applyBorder="1" applyFont="1">
      <alignment horizontal="center"/>
    </xf>
    <xf borderId="24" fillId="2" fontId="1" numFmtId="0" xfId="0" applyAlignment="1" applyBorder="1" applyFont="1">
      <alignment horizontal="center"/>
    </xf>
    <xf borderId="1" fillId="2" fontId="4" numFmtId="0" xfId="0" applyAlignment="1" applyBorder="1" applyFont="1">
      <alignment horizontal="center"/>
    </xf>
    <xf borderId="25" fillId="2" fontId="1" numFmtId="0" xfId="0" applyAlignment="1" applyBorder="1" applyFont="1">
      <alignment horizontal="center"/>
    </xf>
    <xf borderId="24" fillId="0" fontId="1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25" fillId="0" fontId="1" numFmtId="0" xfId="0" applyAlignment="1" applyBorder="1" applyFont="1">
      <alignment horizontal="center"/>
    </xf>
    <xf borderId="26" fillId="2" fontId="1" numFmtId="0" xfId="0" applyAlignment="1" applyBorder="1" applyFont="1">
      <alignment horizontal="center"/>
    </xf>
    <xf borderId="27" fillId="2" fontId="4" numFmtId="0" xfId="0" applyAlignment="1" applyBorder="1" applyFont="1">
      <alignment horizontal="center"/>
    </xf>
    <xf borderId="28" fillId="2" fontId="1" numFmtId="0" xfId="0" applyAlignment="1" applyBorder="1" applyFont="1">
      <alignment horizontal="center"/>
    </xf>
    <xf borderId="18" fillId="16" fontId="2" numFmtId="0" xfId="0" applyBorder="1" applyFill="1" applyFont="1"/>
    <xf borderId="18" fillId="0" fontId="2" numFmtId="0" xfId="0" applyAlignment="1" applyBorder="1" applyFont="1">
      <alignment horizontal="center"/>
    </xf>
    <xf borderId="18" fillId="17" fontId="2" numFmtId="0" xfId="0" applyBorder="1" applyFill="1" applyFont="1"/>
    <xf borderId="18" fillId="18" fontId="2" numFmtId="0" xfId="0" applyBorder="1" applyFill="1" applyFont="1"/>
    <xf borderId="18" fillId="19" fontId="2" numFmtId="0" xfId="0" applyBorder="1" applyFill="1" applyFont="1"/>
    <xf borderId="18" fillId="13" fontId="2" numFmtId="0" xfId="0" applyBorder="1" applyFont="1"/>
    <xf borderId="18" fillId="2" fontId="2" numFmtId="0" xfId="0" applyBorder="1" applyFont="1"/>
    <xf borderId="18" fillId="20" fontId="2" numFmtId="0" xfId="0" applyBorder="1" applyFill="1" applyFont="1"/>
    <xf borderId="18" fillId="21" fontId="2" numFmtId="0" xfId="0" applyBorder="1" applyFill="1" applyFont="1"/>
    <xf borderId="29" fillId="11" fontId="1" numFmtId="0" xfId="0" applyBorder="1" applyFont="1"/>
    <xf borderId="18" fillId="0" fontId="9" numFmtId="0" xfId="0" applyAlignment="1" applyBorder="1" applyFont="1">
      <alignment horizontal="center"/>
    </xf>
  </cellXfs>
  <cellStyles count="1">
    <cellStyle xfId="0" name="Normal" builtinId="0"/>
  </cellStyles>
  <dxfs count="9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</dxfs>
  <tableStyles count="1">
    <tableStyle count="3" pivot="0" name="VOUCHER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J66" displayName="Table_1" name="Table_1" id="1">
  <tableColumns count="9">
    <tableColumn name="CÓDIGO" id="1"/>
    <tableColumn name="NOME DO ALUNO" id="2"/>
    <tableColumn name="CURSO" id="3"/>
    <tableColumn name="MÓDULO" id="4"/>
    <tableColumn name="MAT. PAGO?" id="5"/>
    <tableColumn name="MAT. COMPRADO?" id="6"/>
    <tableColumn name="MAT. ENTREGUE?" id="7"/>
    <tableColumn name="VOUCHER" id="8"/>
    <tableColumn name="VOUCHER USADO?" id="9"/>
  </tableColumns>
  <tableStyleInfo name="VOUCH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4.14"/>
    <col customWidth="1" min="3" max="3" width="14.86"/>
    <col customWidth="1" min="4" max="4" width="18.86"/>
    <col customWidth="1" min="5" max="5" width="16.57"/>
    <col customWidth="1" min="6" max="6" width="11.14"/>
    <col customWidth="1" min="7" max="7" width="23.57"/>
    <col customWidth="1" min="8" max="8" width="20.57"/>
    <col customWidth="1" min="9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>
        <v>1.0</v>
      </c>
      <c r="B2" s="3" t="s">
        <v>8</v>
      </c>
      <c r="C2" s="2"/>
      <c r="D2" s="2" t="s">
        <v>9</v>
      </c>
      <c r="E2" s="2" t="s">
        <v>10</v>
      </c>
      <c r="F2" s="2" t="s">
        <v>11</v>
      </c>
      <c r="G2" s="2"/>
      <c r="H2" s="2" t="s">
        <v>11</v>
      </c>
    </row>
    <row r="3">
      <c r="A3" s="4">
        <v>2.0</v>
      </c>
      <c r="B3" s="5" t="s">
        <v>12</v>
      </c>
      <c r="C3" s="4" t="s">
        <v>13</v>
      </c>
      <c r="D3" s="4" t="s">
        <v>14</v>
      </c>
      <c r="E3" s="2" t="s">
        <v>10</v>
      </c>
      <c r="F3" s="4" t="s">
        <v>11</v>
      </c>
      <c r="G3" s="4"/>
      <c r="H3" s="4" t="s">
        <v>11</v>
      </c>
    </row>
    <row r="4">
      <c r="A4" s="4">
        <v>2.0</v>
      </c>
      <c r="B4" s="5" t="s">
        <v>12</v>
      </c>
      <c r="C4" s="4" t="s">
        <v>13</v>
      </c>
      <c r="D4" s="4" t="s">
        <v>15</v>
      </c>
      <c r="E4" s="2" t="s">
        <v>10</v>
      </c>
      <c r="F4" s="4" t="s">
        <v>11</v>
      </c>
      <c r="G4" s="4"/>
      <c r="H4" s="4" t="s">
        <v>10</v>
      </c>
    </row>
    <row r="5">
      <c r="A5" s="4">
        <v>2.0</v>
      </c>
      <c r="B5" s="5" t="s">
        <v>12</v>
      </c>
      <c r="C5" s="4" t="s">
        <v>13</v>
      </c>
      <c r="D5" s="4" t="s">
        <v>16</v>
      </c>
      <c r="E5" s="2" t="s">
        <v>10</v>
      </c>
      <c r="F5" s="4" t="s">
        <v>10</v>
      </c>
      <c r="G5" s="4"/>
      <c r="H5" s="4" t="s">
        <v>10</v>
      </c>
    </row>
    <row r="6">
      <c r="A6" s="4">
        <v>2.0</v>
      </c>
      <c r="B6" s="5" t="s">
        <v>12</v>
      </c>
      <c r="C6" s="4" t="s">
        <v>13</v>
      </c>
      <c r="D6" s="4" t="s">
        <v>17</v>
      </c>
      <c r="E6" s="2" t="s">
        <v>10</v>
      </c>
      <c r="F6" s="4" t="s">
        <v>10</v>
      </c>
      <c r="G6" s="4"/>
      <c r="H6" s="4" t="s">
        <v>10</v>
      </c>
    </row>
    <row r="7">
      <c r="A7" s="4">
        <v>2.0</v>
      </c>
      <c r="B7" s="5" t="s">
        <v>12</v>
      </c>
      <c r="C7" s="4" t="s">
        <v>13</v>
      </c>
      <c r="D7" s="4" t="s">
        <v>18</v>
      </c>
      <c r="E7" s="2" t="s">
        <v>10</v>
      </c>
      <c r="F7" s="4" t="s">
        <v>10</v>
      </c>
      <c r="G7" s="4"/>
      <c r="H7" s="4" t="s">
        <v>10</v>
      </c>
    </row>
    <row r="8">
      <c r="A8" s="6">
        <v>3.0</v>
      </c>
      <c r="B8" s="7" t="s">
        <v>19</v>
      </c>
      <c r="C8" s="6" t="s">
        <v>20</v>
      </c>
      <c r="D8" s="6" t="s">
        <v>9</v>
      </c>
      <c r="E8" s="2" t="s">
        <v>10</v>
      </c>
      <c r="F8" s="6"/>
      <c r="G8" s="6"/>
      <c r="H8" s="6"/>
    </row>
    <row r="9">
      <c r="A9" s="8">
        <v>4.0</v>
      </c>
      <c r="B9" s="9" t="s">
        <v>21</v>
      </c>
      <c r="C9" s="8" t="s">
        <v>22</v>
      </c>
      <c r="D9" s="8" t="s">
        <v>23</v>
      </c>
      <c r="E9" s="2" t="s">
        <v>11</v>
      </c>
      <c r="F9" s="8"/>
      <c r="G9" s="8" t="s">
        <v>24</v>
      </c>
      <c r="H9" s="8"/>
    </row>
    <row r="10">
      <c r="A10" s="8">
        <v>4.0</v>
      </c>
      <c r="B10" s="9" t="s">
        <v>21</v>
      </c>
      <c r="C10" s="8" t="s">
        <v>22</v>
      </c>
      <c r="D10" s="8" t="s">
        <v>25</v>
      </c>
      <c r="E10" s="2" t="s">
        <v>11</v>
      </c>
      <c r="F10" s="8"/>
      <c r="G10" s="8" t="s">
        <v>26</v>
      </c>
      <c r="H10" s="8"/>
    </row>
    <row r="11">
      <c r="A11" s="2">
        <v>5.0</v>
      </c>
      <c r="B11" s="3" t="s">
        <v>27</v>
      </c>
      <c r="C11" s="2" t="s">
        <v>13</v>
      </c>
      <c r="D11" s="2" t="s">
        <v>14</v>
      </c>
      <c r="E11" s="2" t="s">
        <v>10</v>
      </c>
      <c r="F11" s="2"/>
      <c r="G11" s="2"/>
      <c r="H11" s="2"/>
    </row>
    <row r="12">
      <c r="A12" s="2">
        <v>5.0</v>
      </c>
      <c r="B12" s="3" t="s">
        <v>27</v>
      </c>
      <c r="C12" s="2" t="s">
        <v>13</v>
      </c>
      <c r="D12" s="2" t="s">
        <v>15</v>
      </c>
      <c r="E12" s="2" t="s">
        <v>10</v>
      </c>
      <c r="F12" s="2"/>
      <c r="G12" s="2"/>
      <c r="H12" s="2"/>
    </row>
    <row r="13">
      <c r="A13" s="2">
        <v>5.0</v>
      </c>
      <c r="B13" s="3" t="s">
        <v>27</v>
      </c>
      <c r="C13" s="2" t="s">
        <v>13</v>
      </c>
      <c r="D13" s="2" t="s">
        <v>16</v>
      </c>
      <c r="E13" s="2" t="s">
        <v>10</v>
      </c>
      <c r="F13" s="2"/>
      <c r="G13" s="2"/>
      <c r="H13" s="2"/>
    </row>
    <row r="14">
      <c r="A14" s="2">
        <v>5.0</v>
      </c>
      <c r="B14" s="3" t="s">
        <v>27</v>
      </c>
      <c r="C14" s="2" t="s">
        <v>13</v>
      </c>
      <c r="D14" s="2" t="s">
        <v>17</v>
      </c>
      <c r="E14" s="2" t="s">
        <v>10</v>
      </c>
      <c r="F14" s="2"/>
      <c r="G14" s="2"/>
      <c r="H14" s="2"/>
    </row>
    <row r="15">
      <c r="A15" s="2">
        <v>5.0</v>
      </c>
      <c r="B15" s="3" t="s">
        <v>27</v>
      </c>
      <c r="C15" s="2" t="s">
        <v>13</v>
      </c>
      <c r="D15" s="2" t="s">
        <v>18</v>
      </c>
      <c r="E15" s="2" t="s">
        <v>10</v>
      </c>
      <c r="F15" s="2"/>
      <c r="G15" s="2"/>
      <c r="H15" s="2"/>
    </row>
    <row r="16">
      <c r="A16" s="10">
        <v>5.0</v>
      </c>
      <c r="B16" s="11" t="s">
        <v>27</v>
      </c>
      <c r="C16" s="10" t="s">
        <v>28</v>
      </c>
      <c r="D16" s="10" t="s">
        <v>9</v>
      </c>
      <c r="E16" s="2" t="s">
        <v>10</v>
      </c>
      <c r="F16" s="10"/>
      <c r="G16" s="10"/>
      <c r="H16" s="10"/>
    </row>
    <row r="17" ht="15.75" customHeight="1">
      <c r="A17" s="4">
        <v>6.0</v>
      </c>
      <c r="B17" s="5" t="s">
        <v>29</v>
      </c>
      <c r="C17" s="4" t="s">
        <v>20</v>
      </c>
      <c r="D17" s="4" t="s">
        <v>9</v>
      </c>
      <c r="E17" s="2" t="s">
        <v>10</v>
      </c>
      <c r="F17" s="4"/>
      <c r="G17" s="4" t="s">
        <v>30</v>
      </c>
      <c r="H17" s="4"/>
    </row>
    <row r="18" ht="15.75" customHeight="1">
      <c r="A18" s="6">
        <v>7.0</v>
      </c>
      <c r="B18" s="7" t="s">
        <v>31</v>
      </c>
      <c r="C18" s="6" t="s">
        <v>28</v>
      </c>
      <c r="D18" s="6" t="s">
        <v>9</v>
      </c>
      <c r="E18" s="2" t="s">
        <v>10</v>
      </c>
      <c r="F18" s="6"/>
      <c r="G18" s="6"/>
      <c r="H18" s="6"/>
    </row>
    <row r="19" ht="15.75" customHeight="1">
      <c r="A19" s="8">
        <v>8.0</v>
      </c>
      <c r="B19" s="9" t="s">
        <v>32</v>
      </c>
      <c r="C19" s="8" t="s">
        <v>28</v>
      </c>
      <c r="D19" s="8" t="s">
        <v>9</v>
      </c>
      <c r="E19" s="2" t="s">
        <v>10</v>
      </c>
      <c r="F19" s="8"/>
      <c r="G19" s="8"/>
      <c r="H19" s="8"/>
    </row>
    <row r="20" ht="15.75" customHeight="1">
      <c r="A20" s="12">
        <v>9.0</v>
      </c>
      <c r="B20" s="13" t="s">
        <v>33</v>
      </c>
      <c r="C20" s="12"/>
      <c r="D20" s="12"/>
      <c r="E20" s="2" t="s">
        <v>10</v>
      </c>
      <c r="F20" s="12"/>
      <c r="G20" s="12"/>
      <c r="H20" s="12"/>
    </row>
    <row r="21" ht="15.75" customHeight="1">
      <c r="A21" s="12">
        <v>10.0</v>
      </c>
      <c r="B21" s="13" t="s">
        <v>34</v>
      </c>
      <c r="C21" s="12"/>
      <c r="D21" s="12"/>
      <c r="E21" s="2" t="s">
        <v>10</v>
      </c>
      <c r="F21" s="12"/>
      <c r="G21" s="12"/>
      <c r="H21" s="12"/>
    </row>
    <row r="22" ht="15.75" customHeight="1">
      <c r="A22" s="12">
        <v>11.0</v>
      </c>
      <c r="B22" s="13" t="s">
        <v>35</v>
      </c>
      <c r="C22" s="12"/>
      <c r="D22" s="12"/>
      <c r="E22" s="2" t="s">
        <v>10</v>
      </c>
      <c r="F22" s="12"/>
      <c r="G22" s="12"/>
      <c r="H22" s="12"/>
    </row>
    <row r="23" ht="15.75" customHeight="1">
      <c r="A23" s="12">
        <v>12.0</v>
      </c>
      <c r="B23" s="13" t="s">
        <v>36</v>
      </c>
      <c r="C23" s="12"/>
      <c r="D23" s="12"/>
      <c r="E23" s="2" t="s">
        <v>10</v>
      </c>
      <c r="F23" s="12"/>
      <c r="G23" s="12"/>
      <c r="H23" s="12"/>
    </row>
    <row r="24" ht="15.75" customHeight="1">
      <c r="A24" s="12">
        <v>13.0</v>
      </c>
      <c r="B24" s="13" t="s">
        <v>37</v>
      </c>
      <c r="C24" s="12"/>
      <c r="D24" s="12"/>
      <c r="E24" s="2" t="s">
        <v>10</v>
      </c>
      <c r="F24" s="12"/>
      <c r="G24" s="12"/>
      <c r="H24" s="12"/>
    </row>
    <row r="25" ht="15.75" customHeight="1">
      <c r="A25" s="12">
        <v>14.0</v>
      </c>
      <c r="B25" s="13" t="s">
        <v>38</v>
      </c>
      <c r="C25" s="12"/>
      <c r="D25" s="12"/>
      <c r="E25" s="2" t="s">
        <v>10</v>
      </c>
      <c r="F25" s="12"/>
      <c r="G25" s="12"/>
      <c r="H25" s="12"/>
    </row>
    <row r="26" ht="15.75" customHeight="1">
      <c r="A26" s="12">
        <v>15.0</v>
      </c>
      <c r="B26" s="13" t="s">
        <v>39</v>
      </c>
      <c r="C26" s="12"/>
      <c r="D26" s="12"/>
      <c r="E26" s="2" t="s">
        <v>10</v>
      </c>
      <c r="F26" s="12"/>
      <c r="G26" s="12"/>
      <c r="H26" s="12"/>
    </row>
    <row r="27" ht="15.75" customHeight="1">
      <c r="A27" s="12">
        <v>16.0</v>
      </c>
      <c r="B27" s="13" t="s">
        <v>40</v>
      </c>
      <c r="C27" s="12"/>
      <c r="D27" s="12"/>
      <c r="E27" s="2" t="s">
        <v>10</v>
      </c>
      <c r="F27" s="12"/>
      <c r="G27" s="12"/>
      <c r="H27" s="12"/>
    </row>
    <row r="28" ht="15.75" customHeight="1">
      <c r="A28" s="12">
        <v>17.0</v>
      </c>
      <c r="B28" s="13" t="s">
        <v>41</v>
      </c>
      <c r="C28" s="12"/>
      <c r="D28" s="12"/>
      <c r="E28" s="2" t="s">
        <v>10</v>
      </c>
      <c r="F28" s="12"/>
      <c r="G28" s="12"/>
      <c r="H28" s="12"/>
    </row>
    <row r="29" ht="15.75" customHeight="1">
      <c r="A29" s="12">
        <v>18.0</v>
      </c>
      <c r="B29" s="13" t="s">
        <v>42</v>
      </c>
      <c r="C29" s="12"/>
      <c r="D29" s="12"/>
      <c r="E29" s="2" t="s">
        <v>10</v>
      </c>
      <c r="F29" s="12"/>
      <c r="G29" s="12"/>
      <c r="H29" s="12"/>
    </row>
    <row r="30" ht="15.75" customHeight="1">
      <c r="A30" s="12">
        <v>19.0</v>
      </c>
      <c r="B30" s="13" t="s">
        <v>43</v>
      </c>
      <c r="C30" s="12"/>
      <c r="D30" s="12"/>
      <c r="E30" s="2" t="s">
        <v>10</v>
      </c>
      <c r="F30" s="12"/>
      <c r="G30" s="12" t="s">
        <v>44</v>
      </c>
      <c r="H30" s="12"/>
    </row>
    <row r="31" ht="15.75" customHeight="1">
      <c r="A31" s="12">
        <v>20.0</v>
      </c>
      <c r="B31" s="13" t="s">
        <v>45</v>
      </c>
      <c r="C31" s="12"/>
      <c r="D31" s="12"/>
      <c r="E31" s="2" t="s">
        <v>10</v>
      </c>
      <c r="F31" s="12"/>
      <c r="G31" s="12"/>
      <c r="H31" s="12"/>
    </row>
    <row r="32" ht="15.75" customHeight="1">
      <c r="A32" s="12">
        <v>21.0</v>
      </c>
      <c r="B32" s="13" t="s">
        <v>46</v>
      </c>
      <c r="C32" s="12"/>
      <c r="D32" s="12"/>
      <c r="E32" s="2" t="s">
        <v>10</v>
      </c>
      <c r="F32" s="12"/>
      <c r="G32" s="12"/>
      <c r="H32" s="12"/>
    </row>
    <row r="33" ht="15.75" customHeight="1">
      <c r="A33" s="12">
        <v>22.0</v>
      </c>
      <c r="B33" s="13" t="s">
        <v>47</v>
      </c>
      <c r="C33" s="12"/>
      <c r="D33" s="12"/>
      <c r="E33" s="2" t="s">
        <v>10</v>
      </c>
      <c r="F33" s="12"/>
      <c r="G33" s="12"/>
      <c r="H33" s="12"/>
    </row>
    <row r="34" ht="15.75" customHeight="1">
      <c r="A34" s="12">
        <v>23.0</v>
      </c>
      <c r="B34" s="13" t="s">
        <v>48</v>
      </c>
      <c r="C34" s="12"/>
      <c r="D34" s="12"/>
      <c r="E34" s="2" t="s">
        <v>10</v>
      </c>
      <c r="F34" s="12"/>
      <c r="G34" s="12"/>
      <c r="H34" s="12"/>
    </row>
    <row r="35" ht="15.75" customHeight="1">
      <c r="A35" s="12">
        <v>24.0</v>
      </c>
      <c r="B35" s="13" t="s">
        <v>49</v>
      </c>
      <c r="C35" s="12"/>
      <c r="D35" s="12"/>
      <c r="E35" s="2" t="s">
        <v>10</v>
      </c>
      <c r="F35" s="12"/>
      <c r="G35" s="12"/>
      <c r="H35" s="12"/>
    </row>
    <row r="36" ht="15.75" customHeight="1">
      <c r="A36" s="12">
        <v>25.0</v>
      </c>
      <c r="B36" s="13" t="s">
        <v>50</v>
      </c>
      <c r="C36" s="12"/>
      <c r="D36" s="12"/>
      <c r="E36" s="2" t="s">
        <v>10</v>
      </c>
      <c r="F36" s="12"/>
      <c r="G36" s="12"/>
      <c r="H36" s="12"/>
    </row>
    <row r="37" ht="15.75" customHeight="1">
      <c r="A37" s="12">
        <v>26.0</v>
      </c>
      <c r="B37" s="13" t="s">
        <v>51</v>
      </c>
      <c r="C37" s="12"/>
      <c r="D37" s="12"/>
      <c r="E37" s="2" t="s">
        <v>10</v>
      </c>
      <c r="F37" s="12"/>
      <c r="G37" s="12"/>
      <c r="H37" s="12"/>
    </row>
    <row r="38" ht="15.75" customHeight="1">
      <c r="A38" s="12">
        <v>27.0</v>
      </c>
      <c r="B38" s="13" t="s">
        <v>52</v>
      </c>
      <c r="C38" s="12"/>
      <c r="D38" s="12"/>
      <c r="E38" s="2" t="s">
        <v>10</v>
      </c>
      <c r="F38" s="12"/>
      <c r="G38" s="12"/>
      <c r="H38" s="12"/>
    </row>
    <row r="39" ht="15.75" customHeight="1">
      <c r="A39" s="12">
        <v>28.0</v>
      </c>
      <c r="B39" s="13" t="s">
        <v>53</v>
      </c>
      <c r="C39" s="12"/>
      <c r="D39" s="12"/>
      <c r="E39" s="2" t="s">
        <v>10</v>
      </c>
      <c r="F39" s="12"/>
      <c r="G39" s="12"/>
      <c r="H39" s="12"/>
    </row>
    <row r="40" ht="15.75" customHeight="1">
      <c r="A40" s="12">
        <v>29.0</v>
      </c>
      <c r="B40" s="13" t="s">
        <v>54</v>
      </c>
      <c r="C40" s="12"/>
      <c r="D40" s="12"/>
      <c r="E40" s="2" t="s">
        <v>10</v>
      </c>
      <c r="F40" s="12"/>
      <c r="G40" s="12"/>
      <c r="H40" s="12"/>
    </row>
    <row r="41" ht="15.75" customHeight="1">
      <c r="A41" s="12">
        <v>30.0</v>
      </c>
      <c r="B41" s="13" t="s">
        <v>55</v>
      </c>
      <c r="C41" s="12"/>
      <c r="D41" s="12"/>
      <c r="E41" s="2" t="s">
        <v>10</v>
      </c>
      <c r="F41" s="12"/>
      <c r="G41" s="12" t="s">
        <v>44</v>
      </c>
      <c r="H41" s="12"/>
    </row>
    <row r="42" ht="15.75" customHeight="1">
      <c r="A42" s="12"/>
      <c r="B42" s="13"/>
      <c r="C42" s="12"/>
      <c r="D42" s="12"/>
      <c r="E42" s="2" t="s">
        <v>10</v>
      </c>
      <c r="F42" s="12"/>
      <c r="G42" s="12"/>
      <c r="H42" s="12"/>
    </row>
    <row r="43" ht="15.75" customHeight="1">
      <c r="A43" s="12"/>
      <c r="B43" s="13"/>
      <c r="C43" s="12"/>
      <c r="D43" s="12"/>
      <c r="E43" s="2" t="s">
        <v>10</v>
      </c>
      <c r="F43" s="12"/>
      <c r="G43" s="12"/>
      <c r="H43" s="12"/>
    </row>
    <row r="44" ht="15.75" customHeight="1">
      <c r="A44" s="12"/>
      <c r="B44" s="13"/>
      <c r="C44" s="12"/>
      <c r="D44" s="12"/>
      <c r="E44" s="2" t="s">
        <v>10</v>
      </c>
      <c r="F44" s="12"/>
      <c r="G44" s="12"/>
      <c r="H44" s="12"/>
    </row>
    <row r="45" ht="15.75" customHeight="1">
      <c r="A45" s="12"/>
      <c r="B45" s="13"/>
      <c r="C45" s="12"/>
      <c r="D45" s="12"/>
      <c r="E45" s="2" t="s">
        <v>10</v>
      </c>
      <c r="F45" s="12"/>
      <c r="G45" s="12"/>
      <c r="H45" s="12"/>
    </row>
    <row r="46" ht="15.75" customHeight="1">
      <c r="A46" s="12"/>
      <c r="B46" s="13"/>
      <c r="C46" s="12"/>
      <c r="D46" s="12"/>
      <c r="E46" s="2" t="s">
        <v>10</v>
      </c>
      <c r="F46" s="12"/>
      <c r="G46" s="12"/>
      <c r="H46" s="12"/>
    </row>
    <row r="47" ht="15.75" customHeight="1">
      <c r="A47" s="12"/>
      <c r="B47" s="13"/>
      <c r="C47" s="12"/>
      <c r="D47" s="12"/>
      <c r="E47" s="2" t="s">
        <v>10</v>
      </c>
      <c r="F47" s="12"/>
      <c r="G47" s="12"/>
      <c r="H47" s="12"/>
    </row>
    <row r="48" ht="15.75" customHeight="1">
      <c r="A48" s="12"/>
      <c r="B48" s="13"/>
      <c r="C48" s="12"/>
      <c r="D48" s="12"/>
      <c r="E48" s="2" t="s">
        <v>10</v>
      </c>
      <c r="F48" s="12"/>
      <c r="G48" s="12"/>
      <c r="H48" s="12"/>
    </row>
    <row r="49" ht="15.75" customHeight="1">
      <c r="A49" s="12"/>
      <c r="B49" s="13"/>
      <c r="C49" s="12"/>
      <c r="D49" s="12"/>
      <c r="E49" s="2" t="s">
        <v>10</v>
      </c>
      <c r="F49" s="12"/>
      <c r="G49" s="12"/>
      <c r="H49" s="12"/>
    </row>
    <row r="50" ht="15.75" customHeight="1">
      <c r="A50" s="12"/>
      <c r="B50" s="13"/>
      <c r="C50" s="12"/>
      <c r="D50" s="12"/>
      <c r="E50" s="2" t="s">
        <v>10</v>
      </c>
      <c r="F50" s="12"/>
      <c r="G50" s="12"/>
      <c r="H50" s="12"/>
    </row>
    <row r="51" ht="15.75" customHeight="1">
      <c r="A51" s="12"/>
      <c r="B51" s="13"/>
      <c r="C51" s="12"/>
      <c r="D51" s="12"/>
      <c r="E51" s="2" t="s">
        <v>10</v>
      </c>
      <c r="F51" s="12"/>
      <c r="G51" s="12"/>
      <c r="H51" s="12"/>
    </row>
    <row r="52" ht="15.75" customHeight="1">
      <c r="A52" s="12"/>
      <c r="B52" s="13"/>
      <c r="C52" s="12"/>
      <c r="D52" s="12"/>
      <c r="E52" s="2" t="s">
        <v>10</v>
      </c>
      <c r="F52" s="12"/>
      <c r="G52" s="12"/>
      <c r="H52" s="12"/>
    </row>
    <row r="53" ht="15.75" customHeight="1">
      <c r="A53" s="12"/>
      <c r="B53" s="13"/>
      <c r="C53" s="12"/>
      <c r="D53" s="12"/>
      <c r="E53" s="2" t="s">
        <v>10</v>
      </c>
      <c r="F53" s="12"/>
      <c r="G53" s="12"/>
      <c r="H53" s="12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onditionalFormatting sqref="E2:E53">
    <cfRule type="expression" dxfId="0" priority="1">
      <formula>E2="NÃO"</formula>
    </cfRule>
  </conditionalFormatting>
  <conditionalFormatting sqref="E2:E53">
    <cfRule type="expression" dxfId="1" priority="2">
      <formula>E2="SIM"</formula>
    </cfRule>
  </conditionalFormatting>
  <dataValidations>
    <dataValidation type="list" allowBlank="1" showErrorMessage="1" sqref="D2:D53">
      <formula1>"MÓD. ÚNICO,D.G.I. LÓG. PROG,D.G.I. KODU GAME,D.G.I. SCRATCH,D.G.I. ROBLOX,D.G.I MINECRAFT,D.G.II. PIXEL ART,D.G.II. TINKERCAD,D.G.II. PYTHON,D.G.II. DES. GAMES,D.G.3D. MOD. I,D.G.3D. MOD. II"</formula1>
    </dataValidation>
    <dataValidation type="list" allowBlank="1" showErrorMessage="1" sqref="C2:C53">
      <formula1>"DES. GAMES I,DES. GAMES II,DES. GAMES 3D,ROB. STARTER,ROB. LEVEL-UP,ROB. FASES,ROB. ARDUINO,ROBOGAME,LEGOBOT"</formula1>
    </dataValidation>
    <dataValidation type="list" allowBlank="1" showErrorMessage="1" sqref="E2:F53 H2:H53">
      <formula1>"SIM,NÃO"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.14"/>
    <col customWidth="1" min="2" max="2" width="15.0"/>
    <col customWidth="1" min="3" max="3" width="52.14"/>
    <col customWidth="1" min="4" max="4" width="19.29"/>
    <col customWidth="1" min="5" max="5" width="20.14"/>
    <col customWidth="1" min="6" max="6" width="19.57"/>
    <col customWidth="1" min="7" max="7" width="26.29"/>
    <col customWidth="1" min="8" max="8" width="25.0"/>
    <col customWidth="1" min="9" max="9" width="31.29"/>
    <col customWidth="1" min="10" max="10" width="26.43"/>
    <col customWidth="1" min="11" max="11" width="3.57"/>
    <col customWidth="1" min="12" max="26" width="8.71"/>
  </cols>
  <sheetData>
    <row r="2">
      <c r="C2" s="14" t="s">
        <v>56</v>
      </c>
    </row>
    <row r="4">
      <c r="B4" s="15" t="s">
        <v>0</v>
      </c>
      <c r="C4" s="15" t="s">
        <v>1</v>
      </c>
      <c r="D4" s="15" t="s">
        <v>2</v>
      </c>
      <c r="E4" s="15" t="s">
        <v>3</v>
      </c>
      <c r="F4" s="15" t="s">
        <v>57</v>
      </c>
      <c r="G4" s="15" t="s">
        <v>58</v>
      </c>
      <c r="H4" s="15" t="s">
        <v>59</v>
      </c>
      <c r="I4" s="15" t="s">
        <v>6</v>
      </c>
      <c r="J4" s="15" t="s">
        <v>60</v>
      </c>
    </row>
    <row r="5">
      <c r="B5" s="16" t="s">
        <v>61</v>
      </c>
      <c r="C5" s="17" t="s">
        <v>47</v>
      </c>
      <c r="D5" s="18" t="s">
        <v>62</v>
      </c>
      <c r="E5" s="19" t="s">
        <v>9</v>
      </c>
      <c r="F5" s="20" t="s">
        <v>11</v>
      </c>
      <c r="G5" s="20" t="s">
        <v>11</v>
      </c>
      <c r="H5" s="20" t="s">
        <v>11</v>
      </c>
      <c r="I5" s="21" t="s">
        <v>63</v>
      </c>
      <c r="J5" s="20" t="s">
        <v>11</v>
      </c>
    </row>
    <row r="6">
      <c r="B6" s="16" t="s">
        <v>64</v>
      </c>
      <c r="C6" s="17" t="s">
        <v>29</v>
      </c>
      <c r="D6" s="18" t="s">
        <v>20</v>
      </c>
      <c r="E6" s="19" t="s">
        <v>9</v>
      </c>
      <c r="F6" s="20" t="s">
        <v>11</v>
      </c>
      <c r="G6" s="20" t="s">
        <v>11</v>
      </c>
      <c r="H6" s="20" t="s">
        <v>11</v>
      </c>
      <c r="I6" s="21" t="s">
        <v>30</v>
      </c>
      <c r="J6" s="20" t="s">
        <v>11</v>
      </c>
    </row>
    <row r="7">
      <c r="B7" s="16" t="s">
        <v>65</v>
      </c>
      <c r="C7" s="17" t="s">
        <v>40</v>
      </c>
      <c r="D7" s="18" t="s">
        <v>66</v>
      </c>
      <c r="E7" s="19" t="s">
        <v>9</v>
      </c>
      <c r="F7" s="20" t="s">
        <v>11</v>
      </c>
      <c r="G7" s="20" t="s">
        <v>11</v>
      </c>
      <c r="H7" s="20" t="s">
        <v>11</v>
      </c>
      <c r="I7" s="21" t="s">
        <v>67</v>
      </c>
      <c r="J7" s="20" t="s">
        <v>11</v>
      </c>
    </row>
    <row r="8" hidden="1">
      <c r="B8" s="16" t="s">
        <v>68</v>
      </c>
      <c r="C8" s="17" t="s">
        <v>69</v>
      </c>
      <c r="D8" s="18" t="s">
        <v>70</v>
      </c>
      <c r="E8" s="19" t="s">
        <v>9</v>
      </c>
      <c r="F8" s="20" t="s">
        <v>10</v>
      </c>
      <c r="G8" s="20" t="s">
        <v>10</v>
      </c>
      <c r="H8" s="20" t="s">
        <v>10</v>
      </c>
      <c r="I8" s="22"/>
      <c r="J8" s="20" t="s">
        <v>10</v>
      </c>
    </row>
    <row r="9">
      <c r="B9" s="16" t="s">
        <v>71</v>
      </c>
      <c r="C9" s="17" t="s">
        <v>72</v>
      </c>
      <c r="D9" s="18" t="s">
        <v>66</v>
      </c>
      <c r="E9" s="19" t="s">
        <v>9</v>
      </c>
      <c r="F9" s="20" t="s">
        <v>11</v>
      </c>
      <c r="G9" s="20" t="s">
        <v>11</v>
      </c>
      <c r="H9" s="20" t="s">
        <v>11</v>
      </c>
      <c r="I9" s="21" t="s">
        <v>67</v>
      </c>
      <c r="J9" s="20" t="s">
        <v>11</v>
      </c>
    </row>
    <row r="10">
      <c r="B10" s="16" t="s">
        <v>73</v>
      </c>
      <c r="C10" s="17" t="s">
        <v>34</v>
      </c>
      <c r="D10" s="18" t="s">
        <v>66</v>
      </c>
      <c r="E10" s="19" t="s">
        <v>9</v>
      </c>
      <c r="F10" s="20" t="s">
        <v>11</v>
      </c>
      <c r="G10" s="20" t="s">
        <v>11</v>
      </c>
      <c r="H10" s="20" t="s">
        <v>11</v>
      </c>
      <c r="I10" s="21" t="s">
        <v>74</v>
      </c>
      <c r="J10" s="20" t="s">
        <v>11</v>
      </c>
    </row>
    <row r="11" hidden="1">
      <c r="B11" s="16" t="s">
        <v>75</v>
      </c>
      <c r="C11" s="17" t="s">
        <v>76</v>
      </c>
      <c r="D11" s="18" t="s">
        <v>70</v>
      </c>
      <c r="E11" s="19" t="s">
        <v>9</v>
      </c>
      <c r="F11" s="20" t="s">
        <v>10</v>
      </c>
      <c r="G11" s="20" t="s">
        <v>10</v>
      </c>
      <c r="H11" s="20" t="s">
        <v>10</v>
      </c>
      <c r="I11" s="22"/>
      <c r="J11" s="20"/>
    </row>
    <row r="12">
      <c r="B12" s="16" t="s">
        <v>77</v>
      </c>
      <c r="C12" s="17" t="s">
        <v>37</v>
      </c>
      <c r="D12" s="18" t="s">
        <v>62</v>
      </c>
      <c r="E12" s="19" t="s">
        <v>9</v>
      </c>
      <c r="F12" s="20" t="s">
        <v>11</v>
      </c>
      <c r="G12" s="20" t="s">
        <v>11</v>
      </c>
      <c r="H12" s="20" t="s">
        <v>11</v>
      </c>
      <c r="I12" s="21" t="s">
        <v>78</v>
      </c>
      <c r="J12" s="20" t="s">
        <v>11</v>
      </c>
    </row>
    <row r="13">
      <c r="B13" s="16" t="s">
        <v>79</v>
      </c>
      <c r="C13" s="17" t="s">
        <v>38</v>
      </c>
      <c r="D13" s="18" t="s">
        <v>62</v>
      </c>
      <c r="E13" s="19" t="s">
        <v>9</v>
      </c>
      <c r="F13" s="20" t="s">
        <v>11</v>
      </c>
      <c r="G13" s="20" t="s">
        <v>11</v>
      </c>
      <c r="H13" s="20" t="s">
        <v>11</v>
      </c>
      <c r="I13" s="21" t="s">
        <v>63</v>
      </c>
      <c r="J13" s="20" t="s">
        <v>11</v>
      </c>
    </row>
    <row r="14">
      <c r="A14" s="23"/>
      <c r="B14" s="16" t="s">
        <v>80</v>
      </c>
      <c r="C14" s="17" t="s">
        <v>35</v>
      </c>
      <c r="D14" s="18" t="s">
        <v>62</v>
      </c>
      <c r="E14" s="19" t="s">
        <v>9</v>
      </c>
      <c r="F14" s="20" t="s">
        <v>11</v>
      </c>
      <c r="G14" s="20" t="s">
        <v>11</v>
      </c>
      <c r="H14" s="20" t="s">
        <v>10</v>
      </c>
      <c r="I14" s="21" t="s">
        <v>81</v>
      </c>
      <c r="J14" s="20" t="s">
        <v>11</v>
      </c>
      <c r="K14" s="23"/>
    </row>
    <row r="15" hidden="1">
      <c r="A15" s="23"/>
      <c r="B15" s="16" t="s">
        <v>82</v>
      </c>
      <c r="C15" s="17" t="s">
        <v>35</v>
      </c>
      <c r="D15" s="18" t="s">
        <v>62</v>
      </c>
      <c r="E15" s="19" t="s">
        <v>9</v>
      </c>
      <c r="F15" s="20" t="s">
        <v>10</v>
      </c>
      <c r="G15" s="20" t="s">
        <v>11</v>
      </c>
      <c r="H15" s="20" t="s">
        <v>10</v>
      </c>
      <c r="I15" s="22" t="s">
        <v>81</v>
      </c>
      <c r="J15" s="20"/>
      <c r="K15" s="23"/>
    </row>
    <row r="16" hidden="1">
      <c r="A16" s="23"/>
      <c r="B16" s="16" t="s">
        <v>82</v>
      </c>
      <c r="C16" s="17" t="s">
        <v>35</v>
      </c>
      <c r="D16" s="18" t="s">
        <v>62</v>
      </c>
      <c r="E16" s="19" t="s">
        <v>9</v>
      </c>
      <c r="F16" s="20" t="s">
        <v>10</v>
      </c>
      <c r="G16" s="20" t="s">
        <v>11</v>
      </c>
      <c r="H16" s="20" t="s">
        <v>10</v>
      </c>
      <c r="I16" s="22" t="s">
        <v>81</v>
      </c>
      <c r="J16" s="20"/>
      <c r="K16" s="23"/>
    </row>
    <row r="17">
      <c r="B17" s="16" t="s">
        <v>83</v>
      </c>
      <c r="C17" s="17" t="s">
        <v>55</v>
      </c>
      <c r="D17" s="18" t="s">
        <v>62</v>
      </c>
      <c r="E17" s="19" t="s">
        <v>9</v>
      </c>
      <c r="F17" s="20" t="s">
        <v>11</v>
      </c>
      <c r="G17" s="20" t="s">
        <v>11</v>
      </c>
      <c r="H17" s="20" t="s">
        <v>11</v>
      </c>
      <c r="I17" s="21" t="s">
        <v>84</v>
      </c>
      <c r="J17" s="20" t="s">
        <v>11</v>
      </c>
      <c r="M17" s="24"/>
    </row>
    <row r="18">
      <c r="B18" s="16" t="s">
        <v>85</v>
      </c>
      <c r="C18" s="17" t="s">
        <v>33</v>
      </c>
      <c r="D18" s="18" t="s">
        <v>13</v>
      </c>
      <c r="E18" s="19" t="s">
        <v>14</v>
      </c>
      <c r="F18" s="20" t="s">
        <v>11</v>
      </c>
      <c r="G18" s="20" t="s">
        <v>11</v>
      </c>
      <c r="H18" s="20" t="s">
        <v>11</v>
      </c>
      <c r="I18" s="21" t="s">
        <v>86</v>
      </c>
      <c r="J18" s="20" t="s">
        <v>11</v>
      </c>
    </row>
    <row r="19">
      <c r="B19" s="16" t="s">
        <v>85</v>
      </c>
      <c r="C19" s="17" t="s">
        <v>33</v>
      </c>
      <c r="D19" s="18" t="s">
        <v>13</v>
      </c>
      <c r="E19" s="19" t="s">
        <v>15</v>
      </c>
      <c r="F19" s="20" t="s">
        <v>11</v>
      </c>
      <c r="G19" s="20" t="s">
        <v>11</v>
      </c>
      <c r="H19" s="20" t="s">
        <v>11</v>
      </c>
      <c r="I19" s="21" t="s">
        <v>87</v>
      </c>
      <c r="J19" s="20" t="s">
        <v>11</v>
      </c>
    </row>
    <row r="20">
      <c r="B20" s="16" t="s">
        <v>85</v>
      </c>
      <c r="C20" s="17" t="s">
        <v>33</v>
      </c>
      <c r="D20" s="25" t="s">
        <v>13</v>
      </c>
      <c r="E20" s="26" t="s">
        <v>16</v>
      </c>
      <c r="F20" s="20" t="s">
        <v>11</v>
      </c>
      <c r="G20" s="20" t="s">
        <v>11</v>
      </c>
      <c r="H20" s="20" t="s">
        <v>10</v>
      </c>
      <c r="I20" s="27"/>
      <c r="J20" s="20" t="s">
        <v>10</v>
      </c>
    </row>
    <row r="21" ht="15.75" customHeight="1">
      <c r="B21" s="16" t="s">
        <v>85</v>
      </c>
      <c r="C21" s="17" t="s">
        <v>33</v>
      </c>
      <c r="D21" s="25" t="s">
        <v>13</v>
      </c>
      <c r="E21" s="26" t="s">
        <v>17</v>
      </c>
      <c r="F21" s="20" t="s">
        <v>11</v>
      </c>
      <c r="G21" s="20" t="s">
        <v>10</v>
      </c>
      <c r="H21" s="20" t="s">
        <v>10</v>
      </c>
      <c r="I21" s="27"/>
      <c r="J21" s="20" t="s">
        <v>10</v>
      </c>
    </row>
    <row r="22" ht="15.75" customHeight="1">
      <c r="B22" s="16" t="s">
        <v>85</v>
      </c>
      <c r="C22" s="17" t="s">
        <v>33</v>
      </c>
      <c r="D22" s="25" t="s">
        <v>13</v>
      </c>
      <c r="E22" s="26" t="s">
        <v>18</v>
      </c>
      <c r="F22" s="20" t="s">
        <v>10</v>
      </c>
      <c r="G22" s="20" t="s">
        <v>10</v>
      </c>
      <c r="H22" s="20" t="s">
        <v>10</v>
      </c>
      <c r="I22" s="27"/>
      <c r="J22" s="20" t="s">
        <v>10</v>
      </c>
    </row>
    <row r="23" ht="15.75" hidden="1" customHeight="1">
      <c r="B23" s="16" t="s">
        <v>88</v>
      </c>
      <c r="C23" s="17" t="s">
        <v>33</v>
      </c>
      <c r="D23" s="25" t="s">
        <v>13</v>
      </c>
      <c r="E23" s="26" t="s">
        <v>18</v>
      </c>
      <c r="F23" s="20" t="s">
        <v>10</v>
      </c>
      <c r="G23" s="20" t="s">
        <v>10</v>
      </c>
      <c r="H23" s="20" t="s">
        <v>10</v>
      </c>
      <c r="I23" s="22"/>
      <c r="J23" s="20"/>
    </row>
    <row r="24" ht="15.75" hidden="1" customHeight="1">
      <c r="B24" s="28" t="s">
        <v>89</v>
      </c>
      <c r="C24" s="28" t="s">
        <v>54</v>
      </c>
      <c r="D24" s="29" t="s">
        <v>70</v>
      </c>
      <c r="E24" s="30" t="s">
        <v>9</v>
      </c>
      <c r="F24" s="20" t="s">
        <v>10</v>
      </c>
      <c r="G24" s="20" t="s">
        <v>10</v>
      </c>
      <c r="H24" s="20" t="s">
        <v>10</v>
      </c>
      <c r="I24" s="22"/>
      <c r="J24" s="20"/>
    </row>
    <row r="25" ht="15.75" hidden="1" customHeight="1">
      <c r="B25" s="28" t="s">
        <v>90</v>
      </c>
      <c r="C25" s="28" t="s">
        <v>32</v>
      </c>
      <c r="D25" s="29" t="s">
        <v>66</v>
      </c>
      <c r="E25" s="30" t="s">
        <v>9</v>
      </c>
      <c r="F25" s="20"/>
      <c r="G25" s="20" t="s">
        <v>11</v>
      </c>
      <c r="H25" s="20" t="s">
        <v>10</v>
      </c>
      <c r="I25" s="22" t="s">
        <v>91</v>
      </c>
      <c r="J25" s="20"/>
    </row>
    <row r="26" ht="15.75" customHeight="1">
      <c r="B26" s="28">
        <v>46.0</v>
      </c>
      <c r="C26" s="28" t="s">
        <v>92</v>
      </c>
      <c r="D26" s="29" t="s">
        <v>66</v>
      </c>
      <c r="E26" s="30" t="s">
        <v>9</v>
      </c>
      <c r="F26" s="20" t="s">
        <v>11</v>
      </c>
      <c r="G26" s="20" t="s">
        <v>11</v>
      </c>
      <c r="H26" s="20" t="s">
        <v>10</v>
      </c>
      <c r="I26" s="21" t="s">
        <v>93</v>
      </c>
      <c r="J26" s="20" t="s">
        <v>10</v>
      </c>
    </row>
    <row r="27" ht="15.75" customHeight="1">
      <c r="B27" s="28">
        <v>31.0</v>
      </c>
      <c r="C27" s="28" t="s">
        <v>48</v>
      </c>
      <c r="D27" s="29" t="s">
        <v>20</v>
      </c>
      <c r="E27" s="30" t="s">
        <v>9</v>
      </c>
      <c r="F27" s="20" t="s">
        <v>11</v>
      </c>
      <c r="G27" s="20" t="s">
        <v>11</v>
      </c>
      <c r="H27" s="20" t="s">
        <v>11</v>
      </c>
      <c r="I27" s="21" t="s">
        <v>94</v>
      </c>
      <c r="J27" s="20" t="s">
        <v>11</v>
      </c>
    </row>
    <row r="28" ht="15.75" customHeight="1">
      <c r="B28" s="28">
        <v>23.0</v>
      </c>
      <c r="C28" s="28" t="s">
        <v>41</v>
      </c>
      <c r="D28" s="29" t="s">
        <v>70</v>
      </c>
      <c r="E28" s="30" t="s">
        <v>9</v>
      </c>
      <c r="F28" s="20" t="s">
        <v>11</v>
      </c>
      <c r="G28" s="20" t="s">
        <v>11</v>
      </c>
      <c r="H28" s="20" t="s">
        <v>11</v>
      </c>
      <c r="I28" s="31" t="s">
        <v>95</v>
      </c>
      <c r="J28" s="20" t="s">
        <v>11</v>
      </c>
    </row>
    <row r="29" ht="15.75" customHeight="1">
      <c r="B29" s="28">
        <v>3.0</v>
      </c>
      <c r="C29" s="28" t="s">
        <v>12</v>
      </c>
      <c r="D29" s="29" t="s">
        <v>13</v>
      </c>
      <c r="E29" s="30" t="s">
        <v>14</v>
      </c>
      <c r="F29" s="20" t="s">
        <v>11</v>
      </c>
      <c r="G29" s="20" t="s">
        <v>11</v>
      </c>
      <c r="H29" s="20" t="s">
        <v>11</v>
      </c>
      <c r="I29" s="31" t="s">
        <v>86</v>
      </c>
      <c r="J29" s="20" t="s">
        <v>11</v>
      </c>
    </row>
    <row r="30" ht="15.75" customHeight="1">
      <c r="B30" s="28">
        <v>3.0</v>
      </c>
      <c r="C30" s="28" t="s">
        <v>12</v>
      </c>
      <c r="D30" s="29" t="s">
        <v>13</v>
      </c>
      <c r="E30" s="30" t="s">
        <v>15</v>
      </c>
      <c r="F30" s="20" t="s">
        <v>11</v>
      </c>
      <c r="G30" s="20" t="s">
        <v>11</v>
      </c>
      <c r="H30" s="20" t="s">
        <v>11</v>
      </c>
      <c r="I30" s="31" t="s">
        <v>96</v>
      </c>
      <c r="J30" s="20" t="s">
        <v>11</v>
      </c>
    </row>
    <row r="31" ht="15.75" customHeight="1">
      <c r="B31" s="28">
        <v>3.0</v>
      </c>
      <c r="C31" s="28" t="s">
        <v>12</v>
      </c>
      <c r="D31" s="29" t="s">
        <v>13</v>
      </c>
      <c r="E31" s="28" t="s">
        <v>16</v>
      </c>
      <c r="F31" s="32" t="s">
        <v>11</v>
      </c>
      <c r="G31" s="32" t="s">
        <v>11</v>
      </c>
      <c r="H31" s="32" t="s">
        <v>10</v>
      </c>
      <c r="I31" s="33"/>
      <c r="J31" s="32" t="s">
        <v>10</v>
      </c>
    </row>
    <row r="32" ht="15.75" hidden="1" customHeight="1">
      <c r="B32" s="28" t="s">
        <v>97</v>
      </c>
      <c r="C32" s="28" t="s">
        <v>12</v>
      </c>
      <c r="D32" s="29" t="s">
        <v>13</v>
      </c>
      <c r="E32" s="28" t="s">
        <v>17</v>
      </c>
      <c r="F32" s="32" t="s">
        <v>10</v>
      </c>
      <c r="G32" s="32" t="s">
        <v>10</v>
      </c>
      <c r="H32" s="32" t="s">
        <v>10</v>
      </c>
      <c r="I32" s="34"/>
      <c r="J32" s="32"/>
    </row>
    <row r="33" ht="15.75" hidden="1" customHeight="1">
      <c r="B33" s="28" t="s">
        <v>97</v>
      </c>
      <c r="C33" s="28" t="s">
        <v>12</v>
      </c>
      <c r="D33" s="29" t="s">
        <v>13</v>
      </c>
      <c r="E33" s="28" t="s">
        <v>18</v>
      </c>
      <c r="F33" s="32" t="s">
        <v>10</v>
      </c>
      <c r="G33" s="32" t="s">
        <v>10</v>
      </c>
      <c r="H33" s="32" t="s">
        <v>10</v>
      </c>
      <c r="I33" s="34"/>
      <c r="J33" s="32"/>
    </row>
    <row r="34" ht="15.75" customHeight="1">
      <c r="B34" s="28">
        <v>24.0</v>
      </c>
      <c r="C34" s="28" t="s">
        <v>42</v>
      </c>
      <c r="D34" s="29" t="s">
        <v>66</v>
      </c>
      <c r="E34" s="28" t="s">
        <v>9</v>
      </c>
      <c r="F34" s="32" t="s">
        <v>11</v>
      </c>
      <c r="G34" s="32" t="s">
        <v>11</v>
      </c>
      <c r="H34" s="32" t="s">
        <v>11</v>
      </c>
      <c r="I34" s="35" t="s">
        <v>98</v>
      </c>
      <c r="J34" s="32" t="s">
        <v>11</v>
      </c>
    </row>
    <row r="35" ht="15.75" customHeight="1">
      <c r="B35" s="28">
        <v>33.0</v>
      </c>
      <c r="C35" s="28" t="s">
        <v>52</v>
      </c>
      <c r="D35" s="29" t="s">
        <v>70</v>
      </c>
      <c r="E35" s="28" t="s">
        <v>9</v>
      </c>
      <c r="F35" s="32" t="s">
        <v>11</v>
      </c>
      <c r="G35" s="32" t="s">
        <v>11</v>
      </c>
      <c r="H35" s="32" t="s">
        <v>11</v>
      </c>
      <c r="I35" s="35" t="s">
        <v>99</v>
      </c>
      <c r="J35" s="32" t="s">
        <v>11</v>
      </c>
    </row>
    <row r="36" ht="14.25" customHeight="1">
      <c r="B36" s="28">
        <v>4.0</v>
      </c>
      <c r="C36" s="28" t="s">
        <v>31</v>
      </c>
      <c r="D36" s="29" t="s">
        <v>66</v>
      </c>
      <c r="E36" s="28" t="s">
        <v>9</v>
      </c>
      <c r="F36" s="32" t="s">
        <v>11</v>
      </c>
      <c r="G36" s="32" t="s">
        <v>11</v>
      </c>
      <c r="H36" s="32" t="s">
        <v>11</v>
      </c>
      <c r="I36" s="35" t="s">
        <v>100</v>
      </c>
      <c r="J36" s="32" t="s">
        <v>11</v>
      </c>
    </row>
    <row r="37" ht="15.75" hidden="1" customHeight="1">
      <c r="B37" s="17"/>
      <c r="C37" s="17" t="s">
        <v>19</v>
      </c>
      <c r="D37" s="36" t="s">
        <v>20</v>
      </c>
      <c r="E37" s="17" t="s">
        <v>9</v>
      </c>
      <c r="F37" s="20" t="s">
        <v>11</v>
      </c>
      <c r="G37" s="20" t="s">
        <v>11</v>
      </c>
      <c r="H37" s="20"/>
      <c r="I37" s="37"/>
      <c r="J37" s="20"/>
    </row>
    <row r="38" ht="15.75" hidden="1" customHeight="1">
      <c r="B38" s="28"/>
      <c r="C38" s="28"/>
      <c r="D38" s="29"/>
      <c r="E38" s="28"/>
      <c r="F38" s="32"/>
      <c r="G38" s="32"/>
      <c r="H38" s="32"/>
      <c r="I38" s="34"/>
      <c r="J38" s="32"/>
    </row>
    <row r="39" ht="15.75" hidden="1" customHeight="1">
      <c r="B39" s="17"/>
      <c r="C39" s="17"/>
      <c r="D39" s="36"/>
      <c r="E39" s="17"/>
      <c r="F39" s="20"/>
      <c r="G39" s="20"/>
      <c r="H39" s="20"/>
      <c r="I39" s="37"/>
      <c r="J39" s="20"/>
    </row>
    <row r="40" ht="15.75" hidden="1" customHeight="1">
      <c r="B40" s="17"/>
      <c r="C40" s="17"/>
      <c r="D40" s="36"/>
      <c r="E40" s="17"/>
      <c r="F40" s="20"/>
      <c r="G40" s="20"/>
      <c r="H40" s="20"/>
      <c r="I40" s="37"/>
      <c r="J40" s="20"/>
    </row>
    <row r="41" ht="15.75" hidden="1" customHeight="1">
      <c r="B41" s="17"/>
      <c r="C41" s="17"/>
      <c r="D41" s="36"/>
      <c r="E41" s="17"/>
      <c r="F41" s="20"/>
      <c r="G41" s="20"/>
      <c r="H41" s="20"/>
      <c r="I41" s="37"/>
      <c r="J41" s="20"/>
    </row>
    <row r="42" ht="15.75" hidden="1" customHeight="1">
      <c r="B42" s="17"/>
      <c r="C42" s="17"/>
      <c r="D42" s="36"/>
      <c r="E42" s="17"/>
      <c r="F42" s="20"/>
      <c r="G42" s="20"/>
      <c r="H42" s="20"/>
      <c r="I42" s="37"/>
      <c r="J42" s="20"/>
    </row>
    <row r="43" ht="15.75" hidden="1" customHeight="1">
      <c r="B43" s="17"/>
      <c r="C43" s="17"/>
      <c r="D43" s="36"/>
      <c r="E43" s="17"/>
      <c r="F43" s="20"/>
      <c r="G43" s="20"/>
      <c r="H43" s="20"/>
      <c r="I43" s="37"/>
      <c r="J43" s="20"/>
    </row>
    <row r="44" ht="15.75" hidden="1" customHeight="1">
      <c r="B44" s="17"/>
      <c r="C44" s="17"/>
      <c r="D44" s="36"/>
      <c r="E44" s="17"/>
      <c r="F44" s="20"/>
      <c r="G44" s="20"/>
      <c r="H44" s="20"/>
      <c r="I44" s="37"/>
      <c r="J44" s="20"/>
    </row>
    <row r="45" ht="15.75" hidden="1" customHeight="1">
      <c r="B45" s="17"/>
      <c r="C45" s="17"/>
      <c r="D45" s="36"/>
      <c r="E45" s="17"/>
      <c r="F45" s="20"/>
      <c r="G45" s="20"/>
      <c r="H45" s="20"/>
      <c r="I45" s="37"/>
      <c r="J45" s="20"/>
    </row>
    <row r="46" ht="15.75" hidden="1" customHeight="1">
      <c r="B46" s="28"/>
      <c r="C46" s="28"/>
      <c r="D46" s="29"/>
      <c r="E46" s="28"/>
      <c r="F46" s="32"/>
      <c r="G46" s="32"/>
      <c r="H46" s="32"/>
      <c r="I46" s="34"/>
      <c r="J46" s="32"/>
    </row>
    <row r="47" ht="15.75" customHeight="1">
      <c r="B47" s="28">
        <v>7.0</v>
      </c>
      <c r="C47" s="28" t="s">
        <v>19</v>
      </c>
      <c r="D47" s="29" t="s">
        <v>20</v>
      </c>
      <c r="E47" s="28" t="s">
        <v>9</v>
      </c>
      <c r="F47" s="32" t="s">
        <v>11</v>
      </c>
      <c r="G47" s="32" t="s">
        <v>11</v>
      </c>
      <c r="H47" s="32" t="s">
        <v>11</v>
      </c>
      <c r="I47" s="35" t="s">
        <v>101</v>
      </c>
      <c r="J47" s="32" t="s">
        <v>11</v>
      </c>
    </row>
    <row r="48" ht="15.75" customHeight="1">
      <c r="B48" s="28">
        <v>38.0</v>
      </c>
      <c r="C48" s="28" t="s">
        <v>102</v>
      </c>
      <c r="D48" s="29" t="s">
        <v>20</v>
      </c>
      <c r="E48" s="28" t="s">
        <v>9</v>
      </c>
      <c r="F48" s="38" t="s">
        <v>11</v>
      </c>
      <c r="G48" s="38" t="s">
        <v>11</v>
      </c>
      <c r="H48" s="39" t="s">
        <v>10</v>
      </c>
      <c r="I48" s="35" t="s">
        <v>103</v>
      </c>
      <c r="J48" s="38" t="s">
        <v>11</v>
      </c>
    </row>
    <row r="49" ht="15.75" customHeight="1">
      <c r="B49" s="28">
        <v>35.0</v>
      </c>
      <c r="C49" s="28" t="s">
        <v>53</v>
      </c>
      <c r="D49" s="29" t="s">
        <v>20</v>
      </c>
      <c r="E49" s="28" t="s">
        <v>9</v>
      </c>
      <c r="F49" s="39" t="s">
        <v>10</v>
      </c>
      <c r="G49" s="39" t="s">
        <v>10</v>
      </c>
      <c r="H49" s="39" t="s">
        <v>10</v>
      </c>
      <c r="I49" s="33"/>
      <c r="J49" s="39" t="s">
        <v>10</v>
      </c>
    </row>
    <row r="50" ht="15.75" customHeight="1">
      <c r="B50" s="28">
        <v>29.0</v>
      </c>
      <c r="C50" s="28" t="s">
        <v>46</v>
      </c>
      <c r="D50" s="29" t="s">
        <v>66</v>
      </c>
      <c r="E50" s="28" t="s">
        <v>9</v>
      </c>
      <c r="F50" s="38" t="s">
        <v>11</v>
      </c>
      <c r="G50" s="38" t="s">
        <v>11</v>
      </c>
      <c r="H50" s="38" t="s">
        <v>11</v>
      </c>
      <c r="I50" s="35" t="s">
        <v>104</v>
      </c>
      <c r="J50" s="38" t="s">
        <v>11</v>
      </c>
    </row>
    <row r="51" ht="15.75" customHeight="1">
      <c r="B51" s="28">
        <v>20.0</v>
      </c>
      <c r="C51" s="28" t="s">
        <v>45</v>
      </c>
      <c r="D51" s="29" t="s">
        <v>66</v>
      </c>
      <c r="E51" s="28" t="s">
        <v>9</v>
      </c>
      <c r="F51" s="38" t="s">
        <v>11</v>
      </c>
      <c r="G51" s="38" t="s">
        <v>11</v>
      </c>
      <c r="H51" s="38" t="s">
        <v>11</v>
      </c>
      <c r="I51" s="35" t="s">
        <v>105</v>
      </c>
      <c r="J51" s="38" t="s">
        <v>11</v>
      </c>
    </row>
    <row r="52" ht="15.75" customHeight="1">
      <c r="B52" s="28">
        <v>6.0</v>
      </c>
      <c r="C52" s="28" t="s">
        <v>21</v>
      </c>
      <c r="D52" s="29" t="s">
        <v>22</v>
      </c>
      <c r="E52" s="28" t="s">
        <v>23</v>
      </c>
      <c r="F52" s="38" t="s">
        <v>11</v>
      </c>
      <c r="G52" s="38" t="s">
        <v>11</v>
      </c>
      <c r="H52" s="38" t="s">
        <v>11</v>
      </c>
      <c r="I52" s="35" t="s">
        <v>24</v>
      </c>
      <c r="J52" s="38" t="s">
        <v>11</v>
      </c>
    </row>
    <row r="53" ht="15.75" customHeight="1">
      <c r="B53" s="28">
        <v>6.0</v>
      </c>
      <c r="C53" s="28" t="s">
        <v>21</v>
      </c>
      <c r="D53" s="29" t="s">
        <v>22</v>
      </c>
      <c r="E53" s="28" t="s">
        <v>23</v>
      </c>
      <c r="F53" s="38" t="s">
        <v>11</v>
      </c>
      <c r="G53" s="38" t="s">
        <v>11</v>
      </c>
      <c r="H53" s="38" t="s">
        <v>11</v>
      </c>
      <c r="I53" s="35" t="s">
        <v>26</v>
      </c>
      <c r="J53" s="38" t="s">
        <v>11</v>
      </c>
    </row>
    <row r="54" ht="15.75" customHeight="1">
      <c r="B54" s="17">
        <v>11.0</v>
      </c>
      <c r="C54" s="17" t="s">
        <v>106</v>
      </c>
      <c r="D54" s="36" t="s">
        <v>13</v>
      </c>
      <c r="E54" s="17" t="s">
        <v>14</v>
      </c>
      <c r="F54" s="40" t="s">
        <v>11</v>
      </c>
      <c r="G54" s="40" t="s">
        <v>11</v>
      </c>
      <c r="H54" s="40" t="s">
        <v>11</v>
      </c>
      <c r="I54" s="41" t="s">
        <v>107</v>
      </c>
      <c r="J54" s="40" t="s">
        <v>11</v>
      </c>
    </row>
    <row r="55" ht="15.75" customHeight="1">
      <c r="B55" s="17">
        <v>11.0</v>
      </c>
      <c r="C55" s="17" t="s">
        <v>106</v>
      </c>
      <c r="D55" s="36" t="s">
        <v>13</v>
      </c>
      <c r="E55" s="17" t="s">
        <v>15</v>
      </c>
      <c r="F55" s="40" t="s">
        <v>11</v>
      </c>
      <c r="G55" s="40" t="s">
        <v>11</v>
      </c>
      <c r="H55" s="40" t="s">
        <v>11</v>
      </c>
      <c r="I55" s="42"/>
      <c r="J55" s="43" t="s">
        <v>10</v>
      </c>
    </row>
    <row r="56" ht="15.75" customHeight="1">
      <c r="B56" s="17">
        <v>11.0</v>
      </c>
      <c r="C56" s="17" t="s">
        <v>106</v>
      </c>
      <c r="D56" s="36" t="s">
        <v>13</v>
      </c>
      <c r="E56" s="17" t="s">
        <v>16</v>
      </c>
      <c r="F56" s="43" t="s">
        <v>10</v>
      </c>
      <c r="G56" s="43" t="s">
        <v>10</v>
      </c>
      <c r="H56" s="43" t="s">
        <v>10</v>
      </c>
      <c r="I56" s="42"/>
      <c r="J56" s="43" t="s">
        <v>10</v>
      </c>
    </row>
    <row r="57" ht="15.75" customHeight="1">
      <c r="B57" s="17">
        <v>11.0</v>
      </c>
      <c r="C57" s="17" t="s">
        <v>106</v>
      </c>
      <c r="D57" s="36" t="s">
        <v>13</v>
      </c>
      <c r="E57" s="17" t="s">
        <v>17</v>
      </c>
      <c r="F57" s="43" t="s">
        <v>10</v>
      </c>
      <c r="G57" s="43" t="s">
        <v>10</v>
      </c>
      <c r="H57" s="43" t="s">
        <v>10</v>
      </c>
      <c r="I57" s="42"/>
      <c r="J57" s="43" t="s">
        <v>10</v>
      </c>
    </row>
    <row r="58" ht="15.75" customHeight="1">
      <c r="B58" s="17">
        <v>11.0</v>
      </c>
      <c r="C58" s="17" t="s">
        <v>106</v>
      </c>
      <c r="D58" s="36" t="s">
        <v>13</v>
      </c>
      <c r="E58" s="17" t="s">
        <v>18</v>
      </c>
      <c r="F58" s="43" t="s">
        <v>10</v>
      </c>
      <c r="G58" s="43" t="s">
        <v>10</v>
      </c>
      <c r="H58" s="43" t="s">
        <v>10</v>
      </c>
      <c r="I58" s="42"/>
      <c r="J58" s="43" t="s">
        <v>10</v>
      </c>
    </row>
    <row r="59" ht="15.75" customHeight="1">
      <c r="B59" s="28">
        <v>27.0</v>
      </c>
      <c r="C59" s="28" t="s">
        <v>108</v>
      </c>
      <c r="D59" s="29" t="s">
        <v>62</v>
      </c>
      <c r="E59" s="28" t="s">
        <v>9</v>
      </c>
      <c r="F59" s="38" t="s">
        <v>11</v>
      </c>
      <c r="G59" s="38" t="s">
        <v>11</v>
      </c>
      <c r="H59" s="38" t="s">
        <v>11</v>
      </c>
      <c r="I59" s="35" t="s">
        <v>44</v>
      </c>
      <c r="J59" s="38" t="s">
        <v>11</v>
      </c>
    </row>
    <row r="60" ht="15.75" customHeight="1">
      <c r="B60" s="44"/>
      <c r="C60" s="44"/>
      <c r="D60" s="45"/>
      <c r="E60" s="44"/>
      <c r="F60" s="46"/>
      <c r="G60" s="46"/>
      <c r="H60" s="46"/>
      <c r="I60" s="47"/>
      <c r="J60" s="46"/>
    </row>
    <row r="61" ht="15.75" customHeight="1">
      <c r="B61" s="28"/>
      <c r="C61" s="48" t="s">
        <v>109</v>
      </c>
      <c r="D61" s="29"/>
      <c r="E61" s="28"/>
      <c r="F61" s="32"/>
      <c r="G61" s="32"/>
      <c r="H61" s="32"/>
      <c r="I61" s="49"/>
      <c r="J61" s="32"/>
    </row>
    <row r="62" ht="15.75" customHeight="1">
      <c r="B62" s="28">
        <v>45.0</v>
      </c>
      <c r="C62" s="28" t="s">
        <v>69</v>
      </c>
      <c r="D62" s="29" t="s">
        <v>70</v>
      </c>
      <c r="E62" s="28" t="s">
        <v>9</v>
      </c>
      <c r="F62" s="32" t="s">
        <v>11</v>
      </c>
      <c r="G62" s="32" t="s">
        <v>11</v>
      </c>
      <c r="H62" s="32" t="s">
        <v>10</v>
      </c>
      <c r="I62" s="49" t="s">
        <v>110</v>
      </c>
      <c r="J62" s="32" t="s">
        <v>10</v>
      </c>
    </row>
    <row r="63" ht="15.75" customHeight="1">
      <c r="B63" s="28"/>
      <c r="C63" s="28"/>
      <c r="D63" s="29"/>
      <c r="E63" s="28"/>
      <c r="F63" s="32"/>
      <c r="G63" s="32"/>
      <c r="H63" s="32"/>
      <c r="I63" s="49"/>
      <c r="J63" s="32"/>
    </row>
    <row r="64" ht="15.75" customHeight="1">
      <c r="B64" s="30"/>
      <c r="C64" s="28"/>
      <c r="D64" s="50"/>
      <c r="E64" s="28"/>
      <c r="F64" s="32"/>
      <c r="G64" s="32"/>
      <c r="H64" s="32"/>
      <c r="I64" s="49"/>
      <c r="J64" s="32"/>
    </row>
    <row r="65" ht="15.75" customHeight="1">
      <c r="B65" s="30"/>
      <c r="C65" s="28"/>
      <c r="D65" s="50"/>
      <c r="E65" s="28"/>
      <c r="F65" s="32"/>
      <c r="G65" s="32"/>
      <c r="H65" s="32"/>
      <c r="I65" s="49"/>
      <c r="J65" s="32"/>
    </row>
    <row r="66" ht="15.75" customHeight="1">
      <c r="B66" s="30"/>
      <c r="C66" s="28"/>
      <c r="D66" s="50"/>
      <c r="E66" s="28"/>
      <c r="F66" s="32"/>
      <c r="G66" s="32"/>
      <c r="H66" s="32"/>
      <c r="I66" s="49"/>
      <c r="J66" s="32"/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47:H47 J47">
    <cfRule type="expression" dxfId="0" priority="1">
      <formula>F47="NÃO"</formula>
    </cfRule>
  </conditionalFormatting>
  <conditionalFormatting sqref="F47:H47 J47">
    <cfRule type="expression" dxfId="1" priority="2">
      <formula>F47="SIM"</formula>
    </cfRule>
  </conditionalFormatting>
  <conditionalFormatting sqref="F5:J36">
    <cfRule type="expression" dxfId="0" priority="3">
      <formula>F5="NÃO"</formula>
    </cfRule>
  </conditionalFormatting>
  <conditionalFormatting sqref="F5:J36">
    <cfRule type="expression" dxfId="1" priority="4">
      <formula>F5="SIM"</formula>
    </cfRule>
  </conditionalFormatting>
  <dataValidations>
    <dataValidation type="list" allowBlank="1" showErrorMessage="1" sqref="E5:E66">
      <formula1>"MÓD. ÚNICO,D.G.I. LÓG. PROG,D.G.I. KODU GAME,D.G.I. SCRATCH,D.G.I. ROBLOX,D.G.I MINECRAFT,D.G.II. PIXEL ART,D.G.II. TINKERCAD,D.G.II. PYTHON,D.G.II. DES. GAMES,D.G.3D. MOD. I,D.G.3D. MOD. II,MÓD. 1,MÓD. 2,MÓD. 3,MÓD. 4,MÓD. 5,MÓD. 6"</formula1>
    </dataValidation>
    <dataValidation type="list" allowBlank="1" showErrorMessage="1" sqref="D5:D66">
      <formula1>"DES. GAMES I,DES. GAMES II,DES. GAMES 3D,ROB. STARTER,ROB. LEVEL-UP,ROB. FASES,ROB. ARDUINO,ROBOGAME,LEGOBOT,NOVO1,NOVO2,NOVO3"</formula1>
    </dataValidation>
    <dataValidation type="list" allowBlank="1" showErrorMessage="1" sqref="F5:H66 J5:J66">
      <formula1>"SIM,NÃO,---"</formula1>
    </dataValidation>
  </dataValidations>
  <printOptions/>
  <pageMargins bottom="0.787401575" footer="0.0" header="0.0" left="0.511811024" right="0.511811024" top="0.787401575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5.57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111</v>
      </c>
      <c r="D2" s="55"/>
      <c r="E2" s="56"/>
      <c r="G2" s="53"/>
      <c r="H2" s="53"/>
      <c r="I2" s="57" t="s">
        <v>112</v>
      </c>
      <c r="J2" s="55"/>
      <c r="K2" s="56"/>
      <c r="M2" s="53"/>
      <c r="N2" s="53"/>
      <c r="O2" s="58" t="s">
        <v>113</v>
      </c>
      <c r="P2" s="55"/>
      <c r="Q2" s="56"/>
      <c r="S2" s="53"/>
      <c r="T2" s="53"/>
      <c r="U2" s="59" t="s">
        <v>114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/>
      <c r="J5" s="64"/>
      <c r="K5" s="56">
        <v>1.0</v>
      </c>
      <c r="M5" s="53"/>
      <c r="N5" s="62">
        <v>1.0</v>
      </c>
      <c r="O5" s="63"/>
      <c r="P5" s="64"/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/>
      <c r="P6" s="67"/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LIVRE</v>
      </c>
      <c r="K19" s="56">
        <f>SUMIF(J5:J16, "ROB. LEVEL-UP", K5:K16)</f>
        <v>0</v>
      </c>
      <c r="M19" s="53"/>
      <c r="N19" s="53"/>
      <c r="O19" s="76" t="s">
        <v>117</v>
      </c>
      <c r="P19" s="75" t="str">
        <f t="shared" si="2"/>
        <v>LIVRE</v>
      </c>
      <c r="Q19" s="56">
        <f>SUMIF(P5:P16, "ROB. LEVEL-UP", Q5:Q16)</f>
        <v>0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LIVRE</v>
      </c>
      <c r="Q21" s="56">
        <f>SUMIF(P5:P16, "ROB. ARDUINO", Q5:Q16)</f>
        <v>0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0</v>
      </c>
      <c r="M26" s="53"/>
      <c r="N26" s="53"/>
      <c r="O26" s="83"/>
      <c r="P26" s="55"/>
      <c r="Q26" s="56">
        <f>SUM(Q18:Q25)</f>
        <v>0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5.57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124</v>
      </c>
      <c r="D2" s="55"/>
      <c r="E2" s="56"/>
      <c r="G2" s="53"/>
      <c r="H2" s="53"/>
      <c r="I2" s="57" t="s">
        <v>125</v>
      </c>
      <c r="J2" s="55"/>
      <c r="K2" s="56"/>
      <c r="M2" s="53"/>
      <c r="N2" s="53"/>
      <c r="O2" s="58" t="s">
        <v>126</v>
      </c>
      <c r="P2" s="55"/>
      <c r="Q2" s="56"/>
      <c r="S2" s="53"/>
      <c r="T2" s="53"/>
      <c r="U2" s="59" t="s">
        <v>127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/>
      <c r="J5" s="64"/>
      <c r="K5" s="56">
        <v>1.0</v>
      </c>
      <c r="M5" s="53"/>
      <c r="N5" s="62">
        <v>1.0</v>
      </c>
      <c r="O5" s="63"/>
      <c r="P5" s="64"/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/>
      <c r="P6" s="67"/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LIVRE</v>
      </c>
      <c r="K19" s="56">
        <f>SUMIF(J5:J16, "ROB. LEVEL-UP", K5:K16)</f>
        <v>0</v>
      </c>
      <c r="M19" s="53"/>
      <c r="N19" s="53"/>
      <c r="O19" s="76" t="s">
        <v>117</v>
      </c>
      <c r="P19" s="75" t="str">
        <f t="shared" si="2"/>
        <v>LIVRE</v>
      </c>
      <c r="Q19" s="56">
        <f>SUMIF(P5:P16, "ROB. LEVEL-UP", Q5:Q16)</f>
        <v>0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LIVRE</v>
      </c>
      <c r="Q21" s="56">
        <f>SUMIF(P5:P16, "ROB. ARDUINO", Q5:Q16)</f>
        <v>0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0</v>
      </c>
      <c r="M26" s="53"/>
      <c r="N26" s="53"/>
      <c r="O26" s="83"/>
      <c r="P26" s="55"/>
      <c r="Q26" s="56">
        <f>SUM(Q18:Q25)</f>
        <v>0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7.29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128</v>
      </c>
      <c r="D2" s="55"/>
      <c r="E2" s="56"/>
      <c r="G2" s="53"/>
      <c r="H2" s="53"/>
      <c r="I2" s="57" t="s">
        <v>129</v>
      </c>
      <c r="J2" s="55"/>
      <c r="K2" s="56"/>
      <c r="M2" s="53"/>
      <c r="N2" s="53"/>
      <c r="O2" s="58" t="s">
        <v>130</v>
      </c>
      <c r="P2" s="55"/>
      <c r="Q2" s="56"/>
      <c r="S2" s="53"/>
      <c r="T2" s="53"/>
      <c r="U2" s="59" t="s">
        <v>131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 t="s">
        <v>132</v>
      </c>
      <c r="J5" s="64" t="s">
        <v>62</v>
      </c>
      <c r="K5" s="56">
        <v>1.0</v>
      </c>
      <c r="M5" s="53"/>
      <c r="N5" s="62">
        <v>1.0</v>
      </c>
      <c r="O5" s="63" t="s">
        <v>133</v>
      </c>
      <c r="P5" s="64" t="s">
        <v>62</v>
      </c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 t="s">
        <v>134</v>
      </c>
      <c r="P6" s="67" t="s">
        <v>66</v>
      </c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SEM VAGA</v>
      </c>
      <c r="K19" s="56">
        <f>SUMIF(J5:J16, "ROB. LEVEL-UP", K5:K16)</f>
        <v>1</v>
      </c>
      <c r="M19" s="53"/>
      <c r="N19" s="53"/>
      <c r="O19" s="76" t="s">
        <v>117</v>
      </c>
      <c r="P19" s="75" t="str">
        <f t="shared" si="2"/>
        <v>SEM VAGA</v>
      </c>
      <c r="Q19" s="56">
        <f>SUMIF(P5:P16, "ROB. LEVEL-UP", Q5:Q16)</f>
        <v>1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SEM VAGA</v>
      </c>
      <c r="Q21" s="56">
        <f>SUMIF(P5:P16, "ROB. ARDUINO", Q5:Q16)</f>
        <v>1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1</v>
      </c>
      <c r="M26" s="53"/>
      <c r="N26" s="53"/>
      <c r="O26" s="83"/>
      <c r="P26" s="55"/>
      <c r="Q26" s="56">
        <f>SUM(Q18:Q25)</f>
        <v>2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5.57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135</v>
      </c>
      <c r="D2" s="55"/>
      <c r="E2" s="56"/>
      <c r="G2" s="53"/>
      <c r="H2" s="53"/>
      <c r="I2" s="57" t="s">
        <v>136</v>
      </c>
      <c r="J2" s="55"/>
      <c r="K2" s="56"/>
      <c r="M2" s="53"/>
      <c r="N2" s="53"/>
      <c r="O2" s="58" t="s">
        <v>137</v>
      </c>
      <c r="P2" s="55"/>
      <c r="Q2" s="56"/>
      <c r="S2" s="53"/>
      <c r="T2" s="53"/>
      <c r="U2" s="59" t="s">
        <v>138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/>
      <c r="J5" s="64"/>
      <c r="K5" s="56">
        <v>1.0</v>
      </c>
      <c r="M5" s="53"/>
      <c r="N5" s="62">
        <v>1.0</v>
      </c>
      <c r="O5" s="63"/>
      <c r="P5" s="64"/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/>
      <c r="P6" s="67"/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LIVRE</v>
      </c>
      <c r="K19" s="56">
        <f>SUMIF(J5:J16, "ROB. LEVEL-UP", K5:K16)</f>
        <v>0</v>
      </c>
      <c r="M19" s="53"/>
      <c r="N19" s="53"/>
      <c r="O19" s="76" t="s">
        <v>117</v>
      </c>
      <c r="P19" s="75" t="str">
        <f t="shared" si="2"/>
        <v>LIVRE</v>
      </c>
      <c r="Q19" s="56">
        <f>SUMIF(P5:P16, "ROB. LEVEL-UP", Q5:Q16)</f>
        <v>0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LIVRE</v>
      </c>
      <c r="Q21" s="56">
        <f>SUMIF(P5:P16, "ROB. ARDUINO", Q5:Q16)</f>
        <v>0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0</v>
      </c>
      <c r="M26" s="53"/>
      <c r="N26" s="53"/>
      <c r="O26" s="83"/>
      <c r="P26" s="55"/>
      <c r="Q26" s="56">
        <f>SUM(Q18:Q25)</f>
        <v>0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5.57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139</v>
      </c>
      <c r="D2" s="55"/>
      <c r="E2" s="56"/>
      <c r="G2" s="53"/>
      <c r="H2" s="53"/>
      <c r="I2" s="57" t="s">
        <v>140</v>
      </c>
      <c r="J2" s="55"/>
      <c r="K2" s="56"/>
      <c r="M2" s="53"/>
      <c r="N2" s="53"/>
      <c r="O2" s="58" t="s">
        <v>141</v>
      </c>
      <c r="P2" s="55"/>
      <c r="Q2" s="56"/>
      <c r="S2" s="53"/>
      <c r="T2" s="53"/>
      <c r="U2" s="59" t="s">
        <v>142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/>
      <c r="J5" s="64"/>
      <c r="K5" s="56">
        <v>1.0</v>
      </c>
      <c r="M5" s="53"/>
      <c r="N5" s="62">
        <v>1.0</v>
      </c>
      <c r="O5" s="63"/>
      <c r="P5" s="64"/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/>
      <c r="P6" s="67"/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LIVRE</v>
      </c>
      <c r="K19" s="56">
        <f>SUMIF(J5:J16, "ROB. LEVEL-UP", K5:K16)</f>
        <v>0</v>
      </c>
      <c r="M19" s="53"/>
      <c r="N19" s="53"/>
      <c r="O19" s="76" t="s">
        <v>117</v>
      </c>
      <c r="P19" s="75" t="str">
        <f t="shared" si="2"/>
        <v>LIVRE</v>
      </c>
      <c r="Q19" s="56">
        <f>SUMIF(P5:P16, "ROB. LEVEL-UP", Q5:Q16)</f>
        <v>0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LIVRE</v>
      </c>
      <c r="Q21" s="56">
        <f>SUMIF(P5:P16, "ROB. ARDUINO", Q5:Q16)</f>
        <v>0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0</v>
      </c>
      <c r="M26" s="53"/>
      <c r="N26" s="53"/>
      <c r="O26" s="83"/>
      <c r="P26" s="55"/>
      <c r="Q26" s="56">
        <f>SUM(Q18:Q25)</f>
        <v>0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14"/>
    <col customWidth="1" min="2" max="2" width="3.0"/>
    <col customWidth="1" min="3" max="3" width="50.57"/>
    <col customWidth="1" min="4" max="4" width="15.57"/>
    <col customWidth="1" min="5" max="5" width="1.14"/>
    <col customWidth="1" min="6" max="6" width="3.0"/>
    <col customWidth="1" min="7" max="7" width="1.71"/>
    <col customWidth="1" min="8" max="8" width="3.0"/>
    <col customWidth="1" min="9" max="9" width="40.14"/>
    <col customWidth="1" min="10" max="10" width="15.57"/>
    <col customWidth="1" min="11" max="11" width="1.29"/>
    <col customWidth="1" min="12" max="12" width="2.71"/>
    <col customWidth="1" min="13" max="13" width="1.71"/>
    <col customWidth="1" min="14" max="14" width="3.0"/>
    <col customWidth="1" min="15" max="15" width="40.0"/>
    <col customWidth="1" min="16" max="16" width="15.57"/>
    <col customWidth="1" min="17" max="17" width="1.29"/>
    <col customWidth="1" min="18" max="18" width="2.57"/>
    <col customWidth="1" min="19" max="19" width="2.0"/>
    <col customWidth="1" min="20" max="20" width="3.0"/>
    <col customWidth="1" min="21" max="21" width="40.29"/>
    <col customWidth="1" min="22" max="22" width="15.57"/>
    <col customWidth="1" min="23" max="23" width="1.43"/>
    <col customWidth="1" min="24" max="26" width="8.71"/>
  </cols>
  <sheetData>
    <row r="1">
      <c r="D1" s="51"/>
      <c r="E1" s="52"/>
    </row>
    <row r="2">
      <c r="A2" s="53"/>
      <c r="B2" s="53"/>
      <c r="C2" s="54" t="s">
        <v>143</v>
      </c>
      <c r="D2" s="55"/>
      <c r="E2" s="56"/>
      <c r="G2" s="53"/>
      <c r="H2" s="53"/>
      <c r="I2" s="57" t="s">
        <v>144</v>
      </c>
      <c r="J2" s="55"/>
      <c r="K2" s="56"/>
      <c r="M2" s="53"/>
      <c r="N2" s="53"/>
      <c r="O2" s="58" t="s">
        <v>113</v>
      </c>
      <c r="P2" s="55"/>
      <c r="Q2" s="56"/>
      <c r="S2" s="53"/>
      <c r="T2" s="53"/>
      <c r="U2" s="59" t="s">
        <v>114</v>
      </c>
      <c r="V2" s="55"/>
      <c r="W2" s="56"/>
    </row>
    <row r="3">
      <c r="A3" s="53"/>
      <c r="B3" s="53"/>
      <c r="C3" s="53"/>
      <c r="D3" s="55"/>
      <c r="E3" s="56"/>
      <c r="G3" s="53"/>
      <c r="H3" s="53"/>
      <c r="I3" s="53"/>
      <c r="J3" s="55"/>
      <c r="K3" s="56"/>
      <c r="M3" s="53"/>
      <c r="N3" s="53"/>
      <c r="O3" s="53"/>
      <c r="P3" s="55"/>
      <c r="Q3" s="56"/>
      <c r="S3" s="53"/>
      <c r="T3" s="53"/>
      <c r="U3" s="53"/>
      <c r="V3" s="55"/>
      <c r="W3" s="56"/>
    </row>
    <row r="4">
      <c r="A4" s="53"/>
      <c r="B4" s="53"/>
      <c r="C4" s="60" t="s">
        <v>115</v>
      </c>
      <c r="D4" s="61" t="s">
        <v>2</v>
      </c>
      <c r="E4" s="56"/>
      <c r="G4" s="53"/>
      <c r="H4" s="53"/>
      <c r="I4" s="60" t="s">
        <v>115</v>
      </c>
      <c r="J4" s="61" t="s">
        <v>2</v>
      </c>
      <c r="K4" s="56"/>
      <c r="M4" s="53"/>
      <c r="N4" s="53"/>
      <c r="O4" s="60" t="s">
        <v>115</v>
      </c>
      <c r="P4" s="61" t="s">
        <v>2</v>
      </c>
      <c r="Q4" s="56"/>
      <c r="S4" s="53"/>
      <c r="T4" s="53"/>
      <c r="U4" s="60" t="s">
        <v>115</v>
      </c>
      <c r="V4" s="61" t="s">
        <v>2</v>
      </c>
      <c r="W4" s="56"/>
    </row>
    <row r="5">
      <c r="A5" s="53"/>
      <c r="B5" s="62">
        <v>1.0</v>
      </c>
      <c r="C5" s="63"/>
      <c r="D5" s="64"/>
      <c r="E5" s="56">
        <v>1.0</v>
      </c>
      <c r="G5" s="53"/>
      <c r="H5" s="62">
        <v>1.0</v>
      </c>
      <c r="I5" s="63"/>
      <c r="J5" s="64"/>
      <c r="K5" s="56">
        <v>1.0</v>
      </c>
      <c r="M5" s="53"/>
      <c r="N5" s="62">
        <v>1.0</v>
      </c>
      <c r="O5" s="63"/>
      <c r="P5" s="64"/>
      <c r="Q5" s="56">
        <v>1.0</v>
      </c>
      <c r="S5" s="53"/>
      <c r="T5" s="62">
        <v>1.0</v>
      </c>
      <c r="U5" s="63"/>
      <c r="V5" s="64"/>
      <c r="W5" s="56">
        <v>1.0</v>
      </c>
    </row>
    <row r="6">
      <c r="A6" s="53"/>
      <c r="B6" s="65">
        <v>2.0</v>
      </c>
      <c r="C6" s="66"/>
      <c r="D6" s="67"/>
      <c r="E6" s="56">
        <v>1.0</v>
      </c>
      <c r="G6" s="53"/>
      <c r="H6" s="65">
        <v>2.0</v>
      </c>
      <c r="I6" s="66"/>
      <c r="J6" s="67"/>
      <c r="K6" s="56">
        <v>1.0</v>
      </c>
      <c r="M6" s="53"/>
      <c r="N6" s="65">
        <v>2.0</v>
      </c>
      <c r="O6" s="66"/>
      <c r="P6" s="67"/>
      <c r="Q6" s="56">
        <v>1.0</v>
      </c>
      <c r="S6" s="53"/>
      <c r="T6" s="65">
        <v>2.0</v>
      </c>
      <c r="U6" s="66"/>
      <c r="V6" s="67"/>
      <c r="W6" s="56">
        <v>1.0</v>
      </c>
    </row>
    <row r="7">
      <c r="A7" s="53"/>
      <c r="B7" s="68">
        <v>3.0</v>
      </c>
      <c r="C7" s="69"/>
      <c r="D7" s="70"/>
      <c r="E7" s="56">
        <v>1.0</v>
      </c>
      <c r="G7" s="53"/>
      <c r="H7" s="68">
        <v>3.0</v>
      </c>
      <c r="I7" s="69"/>
      <c r="J7" s="70"/>
      <c r="K7" s="56">
        <v>1.0</v>
      </c>
      <c r="M7" s="53"/>
      <c r="N7" s="68">
        <v>3.0</v>
      </c>
      <c r="O7" s="69"/>
      <c r="P7" s="70"/>
      <c r="Q7" s="56">
        <v>1.0</v>
      </c>
      <c r="S7" s="53"/>
      <c r="T7" s="68">
        <v>3.0</v>
      </c>
      <c r="U7" s="69"/>
      <c r="V7" s="70"/>
      <c r="W7" s="56">
        <v>1.0</v>
      </c>
    </row>
    <row r="8">
      <c r="A8" s="53"/>
      <c r="B8" s="65">
        <v>4.0</v>
      </c>
      <c r="C8" s="66"/>
      <c r="D8" s="67"/>
      <c r="E8" s="56">
        <v>1.0</v>
      </c>
      <c r="G8" s="53"/>
      <c r="H8" s="65">
        <v>4.0</v>
      </c>
      <c r="I8" s="66"/>
      <c r="J8" s="67"/>
      <c r="K8" s="56">
        <v>1.0</v>
      </c>
      <c r="M8" s="53"/>
      <c r="N8" s="65">
        <v>4.0</v>
      </c>
      <c r="O8" s="66"/>
      <c r="P8" s="67"/>
      <c r="Q8" s="56">
        <v>1.0</v>
      </c>
      <c r="S8" s="53"/>
      <c r="T8" s="65">
        <v>4.0</v>
      </c>
      <c r="U8" s="66"/>
      <c r="V8" s="67"/>
      <c r="W8" s="56">
        <v>1.0</v>
      </c>
    </row>
    <row r="9">
      <c r="A9" s="53"/>
      <c r="B9" s="68">
        <v>5.0</v>
      </c>
      <c r="C9" s="69"/>
      <c r="D9" s="70"/>
      <c r="E9" s="56">
        <v>1.0</v>
      </c>
      <c r="G9" s="53"/>
      <c r="H9" s="68">
        <v>5.0</v>
      </c>
      <c r="I9" s="69"/>
      <c r="J9" s="70"/>
      <c r="K9" s="56">
        <v>1.0</v>
      </c>
      <c r="M9" s="53"/>
      <c r="N9" s="68">
        <v>5.0</v>
      </c>
      <c r="O9" s="69"/>
      <c r="P9" s="70"/>
      <c r="Q9" s="56">
        <v>1.0</v>
      </c>
      <c r="S9" s="53"/>
      <c r="T9" s="68">
        <v>5.0</v>
      </c>
      <c r="U9" s="69"/>
      <c r="V9" s="70"/>
      <c r="W9" s="56">
        <v>1.0</v>
      </c>
    </row>
    <row r="10">
      <c r="A10" s="53"/>
      <c r="B10" s="65">
        <v>6.0</v>
      </c>
      <c r="C10" s="66"/>
      <c r="D10" s="67"/>
      <c r="E10" s="56">
        <v>1.0</v>
      </c>
      <c r="G10" s="53"/>
      <c r="H10" s="65">
        <v>6.0</v>
      </c>
      <c r="I10" s="66"/>
      <c r="J10" s="67"/>
      <c r="K10" s="56">
        <v>1.0</v>
      </c>
      <c r="M10" s="53"/>
      <c r="N10" s="65">
        <v>6.0</v>
      </c>
      <c r="O10" s="66"/>
      <c r="P10" s="67"/>
      <c r="Q10" s="56">
        <v>1.0</v>
      </c>
      <c r="S10" s="53"/>
      <c r="T10" s="65">
        <v>6.0</v>
      </c>
      <c r="U10" s="66"/>
      <c r="V10" s="67"/>
      <c r="W10" s="56">
        <v>1.0</v>
      </c>
    </row>
    <row r="11">
      <c r="A11" s="53"/>
      <c r="B11" s="68">
        <v>7.0</v>
      </c>
      <c r="C11" s="69"/>
      <c r="D11" s="70"/>
      <c r="E11" s="56">
        <v>1.0</v>
      </c>
      <c r="G11" s="53"/>
      <c r="H11" s="68">
        <v>7.0</v>
      </c>
      <c r="I11" s="69"/>
      <c r="J11" s="70"/>
      <c r="K11" s="56">
        <v>1.0</v>
      </c>
      <c r="M11" s="53"/>
      <c r="N11" s="68">
        <v>7.0</v>
      </c>
      <c r="O11" s="69"/>
      <c r="P11" s="70"/>
      <c r="Q11" s="56">
        <v>1.0</v>
      </c>
      <c r="S11" s="53"/>
      <c r="T11" s="68">
        <v>7.0</v>
      </c>
      <c r="U11" s="69"/>
      <c r="V11" s="70"/>
      <c r="W11" s="56">
        <v>1.0</v>
      </c>
    </row>
    <row r="12">
      <c r="A12" s="53"/>
      <c r="B12" s="65">
        <v>8.0</v>
      </c>
      <c r="C12" s="66"/>
      <c r="D12" s="67"/>
      <c r="E12" s="56">
        <v>1.0</v>
      </c>
      <c r="G12" s="53"/>
      <c r="H12" s="65">
        <v>8.0</v>
      </c>
      <c r="I12" s="66"/>
      <c r="J12" s="67"/>
      <c r="K12" s="56">
        <v>1.0</v>
      </c>
      <c r="M12" s="53"/>
      <c r="N12" s="65">
        <v>8.0</v>
      </c>
      <c r="O12" s="66"/>
      <c r="P12" s="67"/>
      <c r="Q12" s="56">
        <v>1.0</v>
      </c>
      <c r="S12" s="53"/>
      <c r="T12" s="65">
        <v>8.0</v>
      </c>
      <c r="U12" s="66"/>
      <c r="V12" s="67"/>
      <c r="W12" s="56">
        <v>1.0</v>
      </c>
    </row>
    <row r="13">
      <c r="A13" s="53"/>
      <c r="B13" s="68">
        <v>9.0</v>
      </c>
      <c r="C13" s="69"/>
      <c r="D13" s="70"/>
      <c r="E13" s="56">
        <v>1.0</v>
      </c>
      <c r="G13" s="53"/>
      <c r="H13" s="68">
        <v>9.0</v>
      </c>
      <c r="I13" s="69"/>
      <c r="J13" s="70"/>
      <c r="K13" s="56">
        <v>1.0</v>
      </c>
      <c r="M13" s="53"/>
      <c r="N13" s="68">
        <v>9.0</v>
      </c>
      <c r="O13" s="69"/>
      <c r="P13" s="70"/>
      <c r="Q13" s="56">
        <v>1.0</v>
      </c>
      <c r="S13" s="53"/>
      <c r="T13" s="68">
        <v>9.0</v>
      </c>
      <c r="U13" s="69"/>
      <c r="V13" s="70"/>
      <c r="W13" s="56">
        <v>1.0</v>
      </c>
    </row>
    <row r="14">
      <c r="A14" s="53"/>
      <c r="B14" s="65">
        <v>10.0</v>
      </c>
      <c r="C14" s="66"/>
      <c r="D14" s="67"/>
      <c r="E14" s="56">
        <v>1.0</v>
      </c>
      <c r="G14" s="53"/>
      <c r="H14" s="65">
        <v>10.0</v>
      </c>
      <c r="I14" s="66"/>
      <c r="J14" s="67"/>
      <c r="K14" s="56">
        <v>1.0</v>
      </c>
      <c r="M14" s="53"/>
      <c r="N14" s="65">
        <v>10.0</v>
      </c>
      <c r="O14" s="66"/>
      <c r="P14" s="67"/>
      <c r="Q14" s="56">
        <v>1.0</v>
      </c>
      <c r="S14" s="53"/>
      <c r="T14" s="65">
        <v>10.0</v>
      </c>
      <c r="U14" s="66"/>
      <c r="V14" s="67"/>
      <c r="W14" s="56">
        <v>1.0</v>
      </c>
    </row>
    <row r="15">
      <c r="A15" s="53"/>
      <c r="B15" s="68">
        <v>11.0</v>
      </c>
      <c r="C15" s="69"/>
      <c r="D15" s="70"/>
      <c r="E15" s="56">
        <v>1.0</v>
      </c>
      <c r="G15" s="53"/>
      <c r="H15" s="68">
        <v>11.0</v>
      </c>
      <c r="I15" s="69"/>
      <c r="J15" s="70"/>
      <c r="K15" s="56">
        <v>1.0</v>
      </c>
      <c r="M15" s="53"/>
      <c r="N15" s="68">
        <v>11.0</v>
      </c>
      <c r="O15" s="69"/>
      <c r="P15" s="70"/>
      <c r="Q15" s="56">
        <v>1.0</v>
      </c>
      <c r="S15" s="53"/>
      <c r="T15" s="68">
        <v>11.0</v>
      </c>
      <c r="U15" s="69"/>
      <c r="V15" s="70"/>
      <c r="W15" s="56">
        <v>1.0</v>
      </c>
    </row>
    <row r="16">
      <c r="A16" s="53"/>
      <c r="B16" s="71">
        <v>12.0</v>
      </c>
      <c r="C16" s="72"/>
      <c r="D16" s="73"/>
      <c r="E16" s="56">
        <v>1.0</v>
      </c>
      <c r="G16" s="53"/>
      <c r="H16" s="71">
        <v>12.0</v>
      </c>
      <c r="I16" s="72"/>
      <c r="J16" s="73"/>
      <c r="K16" s="56">
        <v>1.0</v>
      </c>
      <c r="M16" s="53"/>
      <c r="N16" s="71">
        <v>12.0</v>
      </c>
      <c r="O16" s="72"/>
      <c r="P16" s="73"/>
      <c r="Q16" s="56">
        <v>1.0</v>
      </c>
      <c r="S16" s="53"/>
      <c r="T16" s="71">
        <v>12.0</v>
      </c>
      <c r="U16" s="72"/>
      <c r="V16" s="73"/>
      <c r="W16" s="56">
        <v>1.0</v>
      </c>
    </row>
    <row r="17">
      <c r="A17" s="53"/>
      <c r="B17" s="53"/>
      <c r="C17" s="53"/>
      <c r="D17" s="55"/>
      <c r="E17" s="56"/>
      <c r="G17" s="53"/>
      <c r="H17" s="53"/>
      <c r="I17" s="53"/>
      <c r="J17" s="55"/>
      <c r="K17" s="56"/>
      <c r="M17" s="53"/>
      <c r="N17" s="53"/>
      <c r="O17" s="53"/>
      <c r="P17" s="55"/>
      <c r="Q17" s="56"/>
      <c r="S17" s="53"/>
      <c r="T17" s="53"/>
      <c r="U17" s="53"/>
      <c r="V17" s="55"/>
      <c r="W17" s="56"/>
    </row>
    <row r="18">
      <c r="A18" s="53"/>
      <c r="B18" s="53"/>
      <c r="C18" s="74" t="s">
        <v>116</v>
      </c>
      <c r="D18" s="75" t="str">
        <f t="shared" ref="D18:D21" si="1">IF(E18=1, "SEM VAGA", IF(E18=2, "---", IF(E18=0, "LIVRE", 0)))</f>
        <v>LIVRE</v>
      </c>
      <c r="E18" s="56">
        <f>SUMIF(D5:D16, "ROB. STARTER", E5:E16)</f>
        <v>0</v>
      </c>
      <c r="G18" s="53"/>
      <c r="H18" s="53"/>
      <c r="I18" s="74" t="s">
        <v>116</v>
      </c>
      <c r="J18" s="75" t="str">
        <f>IF(K18=1, "SEM VAGA", IF(K18=2, "--- ", IF(K18=0, "LIVRE", 0)))</f>
        <v>LIVRE</v>
      </c>
      <c r="K18" s="56">
        <f>SUMIF(J5:J16, "ROB. STARTER", K5:K16)</f>
        <v>0</v>
      </c>
      <c r="M18" s="53"/>
      <c r="N18" s="53"/>
      <c r="O18" s="74" t="s">
        <v>116</v>
      </c>
      <c r="P18" s="75" t="str">
        <f t="shared" ref="P18:P21" si="2">IF(Q18=1, "SEM VAGA", IF(Q18=2, "---", IF(Q18=0, "LIVRE", 0)))</f>
        <v>LIVRE</v>
      </c>
      <c r="Q18" s="56">
        <f>SUMIF(P5:P16, "ROB. STARTER", Q5:Q16)</f>
        <v>0</v>
      </c>
      <c r="S18" s="53"/>
      <c r="T18" s="53"/>
      <c r="U18" s="74" t="s">
        <v>116</v>
      </c>
      <c r="V18" s="75" t="str">
        <f t="shared" ref="V18:V21" si="3">IF(W18=1, "SEM VAGA", IF(W18=2, "---", IF(W18=0, "LIVRE", 0)))</f>
        <v>LIVRE</v>
      </c>
      <c r="W18" s="56">
        <f>SUMIF(V5:V16, "ROB. STARTER", W5:W16)</f>
        <v>0</v>
      </c>
    </row>
    <row r="19">
      <c r="A19" s="53"/>
      <c r="B19" s="53"/>
      <c r="C19" s="76" t="s">
        <v>117</v>
      </c>
      <c r="D19" s="75" t="str">
        <f t="shared" si="1"/>
        <v>LIVRE</v>
      </c>
      <c r="E19" s="56">
        <f>SUMIF(D5:D16, "ROB. LEVEL-UP", E5:E16)</f>
        <v>0</v>
      </c>
      <c r="G19" s="53"/>
      <c r="H19" s="53"/>
      <c r="I19" s="76" t="s">
        <v>117</v>
      </c>
      <c r="J19" s="75" t="str">
        <f t="shared" ref="J19:J21" si="4">IF(K19=1, "SEM VAGA", IF(K19=2, "---", IF(K19=0, "LIVRE", 0)))</f>
        <v>LIVRE</v>
      </c>
      <c r="K19" s="56">
        <f>SUMIF(J5:J16, "ROB. LEVEL-UP", K5:K16)</f>
        <v>0</v>
      </c>
      <c r="M19" s="53"/>
      <c r="N19" s="53"/>
      <c r="O19" s="76" t="s">
        <v>117</v>
      </c>
      <c r="P19" s="75" t="str">
        <f t="shared" si="2"/>
        <v>LIVRE</v>
      </c>
      <c r="Q19" s="56">
        <f>SUMIF(P5:P16, "ROB. LEVEL-UP", Q5:Q16)</f>
        <v>0</v>
      </c>
      <c r="S19" s="53"/>
      <c r="T19" s="53"/>
      <c r="U19" s="76" t="s">
        <v>117</v>
      </c>
      <c r="V19" s="75" t="str">
        <f t="shared" si="3"/>
        <v>LIVRE</v>
      </c>
      <c r="W19" s="56">
        <f>SUMIF(V5:V16, "ROB. LEVEL-UP", W5:W16)</f>
        <v>0</v>
      </c>
    </row>
    <row r="20">
      <c r="A20" s="53"/>
      <c r="B20" s="53"/>
      <c r="C20" s="77" t="s">
        <v>118</v>
      </c>
      <c r="D20" s="75" t="str">
        <f t="shared" si="1"/>
        <v>LIVRE</v>
      </c>
      <c r="E20" s="56">
        <f>SUMIF(D5:D16, "ROB. FASES", E5:E16)</f>
        <v>0</v>
      </c>
      <c r="G20" s="53"/>
      <c r="H20" s="53"/>
      <c r="I20" s="77" t="s">
        <v>118</v>
      </c>
      <c r="J20" s="75" t="str">
        <f t="shared" si="4"/>
        <v>LIVRE</v>
      </c>
      <c r="K20" s="56">
        <f>SUMIF(J5:J16, "ROB. FASES", K5:K16)</f>
        <v>0</v>
      </c>
      <c r="M20" s="53"/>
      <c r="N20" s="53"/>
      <c r="O20" s="77" t="s">
        <v>118</v>
      </c>
      <c r="P20" s="75" t="str">
        <f t="shared" si="2"/>
        <v>LIVRE</v>
      </c>
      <c r="Q20" s="56">
        <f>SUMIF(P5:P16, "ROB. FASES", Q5:Q16)</f>
        <v>0</v>
      </c>
      <c r="S20" s="53"/>
      <c r="T20" s="53"/>
      <c r="U20" s="77" t="s">
        <v>118</v>
      </c>
      <c r="V20" s="75" t="str">
        <f t="shared" si="3"/>
        <v>LIVRE</v>
      </c>
      <c r="W20" s="56">
        <f>SUMIF(V5:V16, "ROB. FASES", W5:W16)</f>
        <v>0</v>
      </c>
    </row>
    <row r="21" ht="15.75" customHeight="1">
      <c r="A21" s="53"/>
      <c r="B21" s="53"/>
      <c r="C21" s="78" t="s">
        <v>119</v>
      </c>
      <c r="D21" s="75" t="str">
        <f t="shared" si="1"/>
        <v>LIVRE</v>
      </c>
      <c r="E21" s="56">
        <f>SUMIF(D5:D16, "ROB. ARDUINO", E5:E16)</f>
        <v>0</v>
      </c>
      <c r="G21" s="53"/>
      <c r="H21" s="53"/>
      <c r="I21" s="78" t="s">
        <v>119</v>
      </c>
      <c r="J21" s="75" t="str">
        <f t="shared" si="4"/>
        <v>LIVRE</v>
      </c>
      <c r="K21" s="56">
        <f>SUMIF(J5:J16, "ROB. ARDUINO", K5:K16)</f>
        <v>0</v>
      </c>
      <c r="M21" s="53"/>
      <c r="N21" s="53"/>
      <c r="O21" s="78" t="s">
        <v>119</v>
      </c>
      <c r="P21" s="75" t="str">
        <f t="shared" si="2"/>
        <v>LIVRE</v>
      </c>
      <c r="Q21" s="56">
        <f>SUMIF(P5:P16, "ROB. ARDUINO", Q5:Q16)</f>
        <v>0</v>
      </c>
      <c r="S21" s="53"/>
      <c r="T21" s="53"/>
      <c r="U21" s="78" t="s">
        <v>119</v>
      </c>
      <c r="V21" s="75" t="str">
        <f t="shared" si="3"/>
        <v>LIVRE</v>
      </c>
      <c r="W21" s="56">
        <f>SUMIF(V5:V16, "ROB. ARDUINO", W5:W16)</f>
        <v>0</v>
      </c>
    </row>
    <row r="22" ht="15.75" customHeight="1">
      <c r="A22" s="53"/>
      <c r="B22" s="53"/>
      <c r="C22" s="79" t="s">
        <v>120</v>
      </c>
      <c r="D22" s="75" t="str">
        <f>IF(E22=7,"SEM VAGA",IF(E22=6,"UMA VAGA",IF(E22=5,"DUAS VAGAS",IF(E22=4,"TRÊS VAGAS",IF(E22=3,"QUATRO VAGAS",IF(E22=2,"CINCO VAGAS",IF(E22=1,"SEIS VAGAS",IF(E22=0,"LIVRE",0))))))))</f>
        <v>LIVRE</v>
      </c>
      <c r="E22" s="56">
        <f>SUMIF(D5:D16, "LEGOBOT", E5:E16)</f>
        <v>0</v>
      </c>
      <c r="G22" s="53"/>
      <c r="H22" s="53"/>
      <c r="I22" s="79" t="s">
        <v>120</v>
      </c>
      <c r="J22" s="75" t="str">
        <f>IF(K22=7,"SEM VAGA",IF(K22=6,"UMA VAGA",IF(K22=5,"DUAS VAGAS",IF(K22=4,"TRÊS VAGAS",IF(K22=3,"QUATRO VAGAS",IF(K22=2,"CINCO VAGAS",IF(K22=1,"SEIS VAGAS",IF(K22=0,"LIVRE",0))))))))</f>
        <v>LIVRE</v>
      </c>
      <c r="K22" s="56">
        <f>SUMIF(J5:J16, "LEGOBOT", K5:K16)</f>
        <v>0</v>
      </c>
      <c r="M22" s="53"/>
      <c r="N22" s="53"/>
      <c r="O22" s="79" t="s">
        <v>120</v>
      </c>
      <c r="P22" s="75" t="str">
        <f>IF(Q22=7,"SEM VAGA",IF(Q22=6,"UMA VAGA",IF(Q22=5,"DUAS VAGAS",IF(Q22=4,"TRÊS VAGAS",IF(Q22=3,"QUATRO VAGAS",IF(Q22=2,"CINCO VAGAS",IF(Q22=1,"SEIS VAGAS",IF(Q22=0,"LIVRE",0))))))))</f>
        <v>LIVRE</v>
      </c>
      <c r="Q22" s="56">
        <f>SUMIF(P5:P16, "LEGOBOT", Q5:Q16)</f>
        <v>0</v>
      </c>
      <c r="S22" s="53"/>
      <c r="T22" s="53"/>
      <c r="U22" s="79" t="s">
        <v>120</v>
      </c>
      <c r="V22" s="75" t="str">
        <f>IF(W22=7,"SEM VAGA",IF(W22=6,"UMA VAGA",IF(W22=5,"DUAS VAGAS",IF(W22=4,"TRÊS VAGAS",IF(W22=3,"QUATRO VAGAS",IF(W22=2,"CINCO VAGAS",IF(W22=1,"SEIS VAGAS",IF(W22=0,"LIVRE",0))))))))</f>
        <v>LIVRE</v>
      </c>
      <c r="W22" s="56">
        <f>SUMIF(V5:V16, "LEGOBOT", W5:W16)</f>
        <v>0</v>
      </c>
    </row>
    <row r="23" ht="15.75" customHeight="1">
      <c r="A23" s="53"/>
      <c r="B23" s="53"/>
      <c r="C23" s="80" t="s">
        <v>121</v>
      </c>
      <c r="D23" s="75" t="str">
        <f t="shared" ref="D23:D25" si="5">IF(E23=2, "SEM VAGA", IF(E23=1, "UMA VAGA", IF(E23=0, "LIVRE", 0)))</f>
        <v>LIVRE</v>
      </c>
      <c r="E23" s="56">
        <f>SUMIF(D5:D16, "DES. GAMES I", E5:E16)</f>
        <v>0</v>
      </c>
      <c r="G23" s="53"/>
      <c r="H23" s="53"/>
      <c r="I23" s="80" t="s">
        <v>121</v>
      </c>
      <c r="J23" s="75" t="str">
        <f t="shared" ref="J23:J25" si="6">IF(K23=2, "SEM VAGA", IF(K23=1, "UMA VAGA", IF(K23=0, "LIVRE", 0)))</f>
        <v>LIVRE</v>
      </c>
      <c r="K23" s="56">
        <f>SUMIF(J5:J16, "DES. GAMES I", K5:K16)</f>
        <v>0</v>
      </c>
      <c r="M23" s="53"/>
      <c r="N23" s="53"/>
      <c r="O23" s="80" t="s">
        <v>121</v>
      </c>
      <c r="P23" s="75" t="str">
        <f t="shared" ref="P23:P25" si="7">IF(Q23=2, "SEM VAGA", IF(Q23=1, "UMA VAGA", IF(Q23=0, "LIVRE", 0)))</f>
        <v>LIVRE</v>
      </c>
      <c r="Q23" s="56">
        <f>SUMIF(P5:P16, "DES. GAMES I", Q5:Q16)</f>
        <v>0</v>
      </c>
      <c r="S23" s="53"/>
      <c r="T23" s="53"/>
      <c r="U23" s="80" t="s">
        <v>121</v>
      </c>
      <c r="V23" s="75" t="str">
        <f t="shared" ref="V23:V25" si="8">IF(W23=2, "SEM VAGA", IF(W23=1, "UMA VAGA", IF(W23=0, "LIVRE", 0)))</f>
        <v>LIVRE</v>
      </c>
      <c r="W23" s="56">
        <f>SUMIF(V5:V16, "DES. GAMES I", W5:W16)</f>
        <v>0</v>
      </c>
    </row>
    <row r="24" ht="15.75" customHeight="1">
      <c r="A24" s="53"/>
      <c r="B24" s="53"/>
      <c r="C24" s="81" t="s">
        <v>122</v>
      </c>
      <c r="D24" s="75" t="str">
        <f t="shared" si="5"/>
        <v>LIVRE</v>
      </c>
      <c r="E24" s="56">
        <f>SUMIF(D5:D16, "DES. GAMES II", E5:E16)</f>
        <v>0</v>
      </c>
      <c r="G24" s="53"/>
      <c r="H24" s="53"/>
      <c r="I24" s="81" t="s">
        <v>122</v>
      </c>
      <c r="J24" s="75" t="str">
        <f t="shared" si="6"/>
        <v>LIVRE</v>
      </c>
      <c r="K24" s="56">
        <f>SUMIF(J5:J16, "DES. GAMES II", K5:K16)</f>
        <v>0</v>
      </c>
      <c r="M24" s="53"/>
      <c r="N24" s="53"/>
      <c r="O24" s="81" t="s">
        <v>122</v>
      </c>
      <c r="P24" s="75" t="str">
        <f t="shared" si="7"/>
        <v>LIVRE</v>
      </c>
      <c r="Q24" s="56">
        <f>SUMIF(P5:P16, "DES. GAMES II", Q5:Q16)</f>
        <v>0</v>
      </c>
      <c r="S24" s="53"/>
      <c r="T24" s="53"/>
      <c r="U24" s="81" t="s">
        <v>122</v>
      </c>
      <c r="V24" s="75" t="str">
        <f t="shared" si="8"/>
        <v>LIVRE</v>
      </c>
      <c r="W24" s="56">
        <f>SUMIF(V5:V16, "DES. GAMES II", W5:W16)</f>
        <v>0</v>
      </c>
    </row>
    <row r="25" ht="15.75" customHeight="1">
      <c r="A25" s="53"/>
      <c r="B25" s="53"/>
      <c r="C25" s="82" t="s">
        <v>123</v>
      </c>
      <c r="D25" s="75" t="str">
        <f t="shared" si="5"/>
        <v>LIVRE</v>
      </c>
      <c r="E25" s="56">
        <f>SUMIF(D5:D16, "DES. GAMES 3D", E5:E16)</f>
        <v>0</v>
      </c>
      <c r="G25" s="53"/>
      <c r="H25" s="53"/>
      <c r="I25" s="82" t="s">
        <v>123</v>
      </c>
      <c r="J25" s="75" t="str">
        <f t="shared" si="6"/>
        <v>LIVRE</v>
      </c>
      <c r="K25" s="56">
        <f>SUMIF(J5:J16, "DES. GAMES 3D", K5:K16)</f>
        <v>0</v>
      </c>
      <c r="M25" s="53"/>
      <c r="N25" s="53"/>
      <c r="O25" s="82" t="s">
        <v>123</v>
      </c>
      <c r="P25" s="75" t="str">
        <f t="shared" si="7"/>
        <v>LIVRE</v>
      </c>
      <c r="Q25" s="56">
        <f>SUMIF(P5:P16, "DES. GAMES 3D", Q5:Q16)</f>
        <v>0</v>
      </c>
      <c r="S25" s="53"/>
      <c r="T25" s="53"/>
      <c r="U25" s="82" t="s">
        <v>123</v>
      </c>
      <c r="V25" s="75" t="str">
        <f t="shared" si="8"/>
        <v>LIVRE</v>
      </c>
      <c r="W25" s="56">
        <f>SUMIF(V5:V16, "DES. GAMES 3D", W5:W16)</f>
        <v>0</v>
      </c>
    </row>
    <row r="26" ht="15.75" customHeight="1">
      <c r="A26" s="53"/>
      <c r="B26" s="53"/>
      <c r="C26" s="83"/>
      <c r="D26" s="55"/>
      <c r="E26" s="56">
        <f>SUM(E18:E25)</f>
        <v>0</v>
      </c>
      <c r="G26" s="53"/>
      <c r="H26" s="53"/>
      <c r="I26" s="83"/>
      <c r="J26" s="55"/>
      <c r="K26" s="56">
        <f>SUM(K18:K25)</f>
        <v>0</v>
      </c>
      <c r="M26" s="53"/>
      <c r="N26" s="53"/>
      <c r="O26" s="83"/>
      <c r="P26" s="55"/>
      <c r="Q26" s="56">
        <f>SUM(Q18:Q25)</f>
        <v>0</v>
      </c>
      <c r="S26" s="53"/>
      <c r="T26" s="53"/>
      <c r="U26" s="83"/>
      <c r="V26" s="55"/>
      <c r="W26" s="56">
        <f>SUM(W18:W25)</f>
        <v>0</v>
      </c>
    </row>
    <row r="27" ht="15.75" customHeight="1">
      <c r="A27" s="53"/>
      <c r="B27" s="53"/>
      <c r="C27" s="84" t="str">
        <f>IF(E26=12, "LOTADO", "HÁ VAGAS")</f>
        <v>HÁ VAGAS</v>
      </c>
      <c r="D27" s="55"/>
      <c r="E27" s="56"/>
      <c r="G27" s="53"/>
      <c r="H27" s="53"/>
      <c r="I27" s="84" t="str">
        <f>IF(K26=12, "LOTADO", "HÁ VAGAS")</f>
        <v>HÁ VAGAS</v>
      </c>
      <c r="J27" s="55"/>
      <c r="K27" s="56"/>
      <c r="M27" s="53"/>
      <c r="N27" s="53"/>
      <c r="O27" s="84" t="str">
        <f>IF(Q26=12, "LOTADO", "HÁ VAGAS")</f>
        <v>HÁ VAGAS</v>
      </c>
      <c r="P27" s="55"/>
      <c r="Q27" s="56"/>
      <c r="S27" s="53"/>
      <c r="T27" s="53"/>
      <c r="U27" s="84" t="str">
        <f>IF(W26=12, "LOTADO", "HÁ VAGAS")</f>
        <v>HÁ VAGAS</v>
      </c>
      <c r="V27" s="55"/>
      <c r="W27" s="56"/>
    </row>
    <row r="28" ht="15.75" customHeight="1">
      <c r="A28" s="53"/>
      <c r="B28" s="53"/>
      <c r="C28" s="53"/>
      <c r="D28" s="55"/>
      <c r="E28" s="56"/>
      <c r="G28" s="53"/>
      <c r="H28" s="53"/>
      <c r="I28" s="53"/>
      <c r="J28" s="55"/>
      <c r="K28" s="56"/>
      <c r="M28" s="53"/>
      <c r="N28" s="53"/>
      <c r="O28" s="53"/>
      <c r="P28" s="55"/>
      <c r="Q28" s="56"/>
      <c r="S28" s="53"/>
      <c r="T28" s="53"/>
      <c r="U28" s="53"/>
      <c r="V28" s="55"/>
      <c r="W28" s="56"/>
    </row>
    <row r="29" ht="15.75" customHeight="1">
      <c r="D29" s="51"/>
      <c r="E29" s="52"/>
    </row>
    <row r="30" ht="15.75" customHeight="1">
      <c r="D30" s="51"/>
      <c r="E30" s="52"/>
    </row>
    <row r="31" ht="15.75" customHeight="1">
      <c r="D31" s="51"/>
      <c r="E31" s="52"/>
    </row>
    <row r="32" ht="15.75" customHeight="1">
      <c r="D32" s="51"/>
      <c r="E32" s="52"/>
    </row>
    <row r="33" ht="15.75" customHeight="1">
      <c r="D33" s="51"/>
      <c r="E33" s="52"/>
    </row>
    <row r="34" ht="15.75" customHeight="1">
      <c r="D34" s="51"/>
      <c r="E34" s="52"/>
    </row>
    <row r="35" ht="15.75" customHeight="1">
      <c r="D35" s="51"/>
      <c r="E35" s="52"/>
    </row>
    <row r="36" ht="15.75" customHeight="1">
      <c r="D36" s="51"/>
      <c r="E36" s="52"/>
    </row>
    <row r="37" ht="15.75" customHeight="1">
      <c r="D37" s="51"/>
      <c r="E37" s="52"/>
    </row>
    <row r="38" ht="15.75" customHeight="1">
      <c r="D38" s="51"/>
      <c r="E38" s="52"/>
    </row>
    <row r="39" ht="15.75" customHeight="1">
      <c r="D39" s="51"/>
      <c r="E39" s="52"/>
    </row>
    <row r="40" ht="15.75" customHeight="1">
      <c r="D40" s="51"/>
      <c r="E40" s="52"/>
    </row>
    <row r="41" ht="15.75" customHeight="1">
      <c r="D41" s="51"/>
      <c r="E41" s="52"/>
    </row>
    <row r="42" ht="15.75" customHeight="1">
      <c r="D42" s="51"/>
      <c r="E42" s="52"/>
    </row>
    <row r="43" ht="15.75" customHeight="1">
      <c r="D43" s="51"/>
      <c r="E43" s="52"/>
    </row>
    <row r="44" ht="15.75" customHeight="1">
      <c r="D44" s="51"/>
      <c r="E44" s="52"/>
    </row>
    <row r="45" ht="15.75" customHeight="1">
      <c r="D45" s="51"/>
      <c r="E45" s="52"/>
    </row>
    <row r="46" ht="15.75" customHeight="1">
      <c r="D46" s="51"/>
      <c r="E46" s="52"/>
    </row>
    <row r="47" ht="15.75" customHeight="1">
      <c r="D47" s="51"/>
      <c r="E47" s="52"/>
    </row>
    <row r="48" ht="15.75" customHeight="1">
      <c r="D48" s="51"/>
      <c r="E48" s="52"/>
    </row>
    <row r="49" ht="15.75" customHeight="1">
      <c r="D49" s="51"/>
      <c r="E49" s="52"/>
    </row>
    <row r="50" ht="15.75" customHeight="1">
      <c r="D50" s="51"/>
      <c r="E50" s="52"/>
    </row>
    <row r="51" ht="15.75" customHeight="1">
      <c r="D51" s="51"/>
      <c r="E51" s="52"/>
    </row>
    <row r="52" ht="15.75" customHeight="1">
      <c r="D52" s="51"/>
      <c r="E52" s="52"/>
    </row>
    <row r="53" ht="15.75" customHeight="1">
      <c r="D53" s="51"/>
      <c r="E53" s="52"/>
    </row>
    <row r="54" ht="15.75" customHeight="1">
      <c r="D54" s="51"/>
      <c r="E54" s="52"/>
    </row>
    <row r="55" ht="15.75" customHeight="1">
      <c r="D55" s="51"/>
      <c r="E55" s="52"/>
    </row>
    <row r="56" ht="15.75" customHeight="1">
      <c r="D56" s="51"/>
      <c r="E56" s="52"/>
    </row>
    <row r="57" ht="15.75" customHeight="1">
      <c r="D57" s="51"/>
      <c r="E57" s="52"/>
    </row>
    <row r="58" ht="15.75" customHeight="1">
      <c r="D58" s="51"/>
      <c r="E58" s="52"/>
    </row>
    <row r="59" ht="15.75" customHeight="1">
      <c r="D59" s="51"/>
      <c r="E59" s="52"/>
    </row>
    <row r="60" ht="15.75" customHeight="1">
      <c r="D60" s="51"/>
      <c r="E60" s="52"/>
    </row>
    <row r="61" ht="15.75" customHeight="1">
      <c r="D61" s="51"/>
      <c r="E61" s="52"/>
    </row>
    <row r="62" ht="15.75" customHeight="1">
      <c r="D62" s="51"/>
      <c r="E62" s="52"/>
    </row>
    <row r="63" ht="15.75" customHeight="1">
      <c r="D63" s="51"/>
      <c r="E63" s="52"/>
    </row>
    <row r="64" ht="15.75" customHeight="1">
      <c r="D64" s="51"/>
      <c r="E64" s="52"/>
    </row>
    <row r="65" ht="15.75" customHeight="1">
      <c r="D65" s="51"/>
      <c r="E65" s="52"/>
    </row>
    <row r="66" ht="15.75" customHeight="1">
      <c r="D66" s="51"/>
      <c r="E66" s="52"/>
    </row>
    <row r="67" ht="15.75" customHeight="1">
      <c r="D67" s="51"/>
      <c r="E67" s="52"/>
    </row>
    <row r="68" ht="15.75" customHeight="1">
      <c r="D68" s="51"/>
      <c r="E68" s="52"/>
    </row>
    <row r="69" ht="15.75" customHeight="1">
      <c r="D69" s="51"/>
      <c r="E69" s="52"/>
    </row>
    <row r="70" ht="15.75" customHeight="1">
      <c r="D70" s="51"/>
      <c r="E70" s="52"/>
    </row>
    <row r="71" ht="15.75" customHeight="1">
      <c r="D71" s="51"/>
      <c r="E71" s="52"/>
    </row>
    <row r="72" ht="15.75" customHeight="1">
      <c r="D72" s="51"/>
      <c r="E72" s="52"/>
    </row>
    <row r="73" ht="15.75" customHeight="1">
      <c r="D73" s="51"/>
      <c r="E73" s="52"/>
    </row>
    <row r="74" ht="15.75" customHeight="1">
      <c r="D74" s="51"/>
      <c r="E74" s="52"/>
    </row>
    <row r="75" ht="15.75" customHeight="1">
      <c r="D75" s="51"/>
      <c r="E75" s="52"/>
    </row>
    <row r="76" ht="15.75" customHeight="1">
      <c r="D76" s="51"/>
      <c r="E76" s="52"/>
    </row>
    <row r="77" ht="15.75" customHeight="1">
      <c r="D77" s="51"/>
      <c r="E77" s="52"/>
    </row>
    <row r="78" ht="15.75" customHeight="1">
      <c r="D78" s="51"/>
      <c r="E78" s="52"/>
    </row>
    <row r="79" ht="15.75" customHeight="1">
      <c r="D79" s="51"/>
      <c r="E79" s="52"/>
    </row>
    <row r="80" ht="15.75" customHeight="1">
      <c r="D80" s="51"/>
      <c r="E80" s="52"/>
    </row>
    <row r="81" ht="15.75" customHeight="1">
      <c r="D81" s="51"/>
      <c r="E81" s="52"/>
    </row>
    <row r="82" ht="15.75" customHeight="1">
      <c r="D82" s="51"/>
      <c r="E82" s="52"/>
    </row>
    <row r="83" ht="15.75" customHeight="1">
      <c r="D83" s="51"/>
      <c r="E83" s="52"/>
    </row>
    <row r="84" ht="15.75" customHeight="1">
      <c r="D84" s="51"/>
      <c r="E84" s="52"/>
    </row>
    <row r="85" ht="15.75" customHeight="1">
      <c r="D85" s="51"/>
      <c r="E85" s="52"/>
    </row>
    <row r="86" ht="15.75" customHeight="1">
      <c r="D86" s="51"/>
      <c r="E86" s="52"/>
    </row>
    <row r="87" ht="15.75" customHeight="1">
      <c r="D87" s="51"/>
      <c r="E87" s="52"/>
    </row>
    <row r="88" ht="15.75" customHeight="1">
      <c r="D88" s="51"/>
      <c r="E88" s="52"/>
    </row>
    <row r="89" ht="15.75" customHeight="1">
      <c r="D89" s="51"/>
      <c r="E89" s="52"/>
    </row>
    <row r="90" ht="15.75" customHeight="1">
      <c r="D90" s="51"/>
      <c r="E90" s="52"/>
    </row>
    <row r="91" ht="15.75" customHeight="1">
      <c r="D91" s="51"/>
      <c r="E91" s="52"/>
    </row>
    <row r="92" ht="15.75" customHeight="1">
      <c r="D92" s="51"/>
      <c r="E92" s="52"/>
    </row>
    <row r="93" ht="15.75" customHeight="1">
      <c r="D93" s="51"/>
      <c r="E93" s="52"/>
    </row>
    <row r="94" ht="15.75" customHeight="1">
      <c r="D94" s="51"/>
      <c r="E94" s="52"/>
    </row>
    <row r="95" ht="15.75" customHeight="1">
      <c r="D95" s="51"/>
      <c r="E95" s="52"/>
    </row>
    <row r="96" ht="15.75" customHeight="1">
      <c r="D96" s="51"/>
      <c r="E96" s="52"/>
    </row>
    <row r="97" ht="15.75" customHeight="1">
      <c r="D97" s="51"/>
      <c r="E97" s="52"/>
    </row>
    <row r="98" ht="15.75" customHeight="1">
      <c r="D98" s="51"/>
      <c r="E98" s="52"/>
    </row>
    <row r="99" ht="15.75" customHeight="1">
      <c r="D99" s="51"/>
      <c r="E99" s="52"/>
    </row>
    <row r="100" ht="15.75" customHeight="1">
      <c r="D100" s="51"/>
      <c r="E100" s="52"/>
    </row>
    <row r="101" ht="15.75" customHeight="1">
      <c r="D101" s="51"/>
      <c r="E101" s="52"/>
    </row>
    <row r="102" ht="15.75" customHeight="1">
      <c r="D102" s="51"/>
      <c r="E102" s="52"/>
    </row>
    <row r="103" ht="15.75" customHeight="1">
      <c r="D103" s="51"/>
      <c r="E103" s="52"/>
    </row>
    <row r="104" ht="15.75" customHeight="1">
      <c r="D104" s="51"/>
      <c r="E104" s="52"/>
    </row>
    <row r="105" ht="15.75" customHeight="1">
      <c r="D105" s="51"/>
      <c r="E105" s="52"/>
    </row>
    <row r="106" ht="15.75" customHeight="1">
      <c r="D106" s="51"/>
      <c r="E106" s="52"/>
    </row>
    <row r="107" ht="15.75" customHeight="1">
      <c r="D107" s="51"/>
      <c r="E107" s="52"/>
    </row>
    <row r="108" ht="15.75" customHeight="1">
      <c r="D108" s="51"/>
      <c r="E108" s="52"/>
    </row>
    <row r="109" ht="15.75" customHeight="1">
      <c r="D109" s="51"/>
      <c r="E109" s="52"/>
    </row>
    <row r="110" ht="15.75" customHeight="1">
      <c r="D110" s="51"/>
      <c r="E110" s="52"/>
    </row>
    <row r="111" ht="15.75" customHeight="1">
      <c r="D111" s="51"/>
      <c r="E111" s="52"/>
    </row>
    <row r="112" ht="15.75" customHeight="1">
      <c r="D112" s="51"/>
      <c r="E112" s="52"/>
    </row>
    <row r="113" ht="15.75" customHeight="1">
      <c r="D113" s="51"/>
      <c r="E113" s="52"/>
    </row>
    <row r="114" ht="15.75" customHeight="1">
      <c r="D114" s="51"/>
      <c r="E114" s="52"/>
    </row>
    <row r="115" ht="15.75" customHeight="1">
      <c r="D115" s="51"/>
      <c r="E115" s="52"/>
    </row>
    <row r="116" ht="15.75" customHeight="1">
      <c r="D116" s="51"/>
      <c r="E116" s="52"/>
    </row>
    <row r="117" ht="15.75" customHeight="1">
      <c r="D117" s="51"/>
      <c r="E117" s="52"/>
    </row>
    <row r="118" ht="15.75" customHeight="1">
      <c r="D118" s="51"/>
      <c r="E118" s="52"/>
    </row>
    <row r="119" ht="15.75" customHeight="1">
      <c r="D119" s="51"/>
      <c r="E119" s="52"/>
    </row>
    <row r="120" ht="15.75" customHeight="1">
      <c r="D120" s="51"/>
      <c r="E120" s="52"/>
    </row>
    <row r="121" ht="15.75" customHeight="1">
      <c r="D121" s="51"/>
      <c r="E121" s="52"/>
    </row>
    <row r="122" ht="15.75" customHeight="1">
      <c r="D122" s="51"/>
      <c r="E122" s="52"/>
    </row>
    <row r="123" ht="15.75" customHeight="1">
      <c r="D123" s="51"/>
      <c r="E123" s="52"/>
    </row>
    <row r="124" ht="15.75" customHeight="1">
      <c r="D124" s="51"/>
      <c r="E124" s="52"/>
    </row>
    <row r="125" ht="15.75" customHeight="1">
      <c r="D125" s="51"/>
      <c r="E125" s="52"/>
    </row>
    <row r="126" ht="15.75" customHeight="1">
      <c r="D126" s="51"/>
      <c r="E126" s="52"/>
    </row>
    <row r="127" ht="15.75" customHeight="1">
      <c r="D127" s="51"/>
      <c r="E127" s="52"/>
    </row>
    <row r="128" ht="15.75" customHeight="1">
      <c r="D128" s="51"/>
      <c r="E128" s="52"/>
    </row>
    <row r="129" ht="15.75" customHeight="1">
      <c r="D129" s="51"/>
      <c r="E129" s="52"/>
    </row>
    <row r="130" ht="15.75" customHeight="1">
      <c r="D130" s="51"/>
      <c r="E130" s="52"/>
    </row>
    <row r="131" ht="15.75" customHeight="1">
      <c r="D131" s="51"/>
      <c r="E131" s="52"/>
    </row>
    <row r="132" ht="15.75" customHeight="1">
      <c r="D132" s="51"/>
      <c r="E132" s="52"/>
    </row>
    <row r="133" ht="15.75" customHeight="1">
      <c r="D133" s="51"/>
      <c r="E133" s="52"/>
    </row>
    <row r="134" ht="15.75" customHeight="1">
      <c r="D134" s="51"/>
      <c r="E134" s="52"/>
    </row>
    <row r="135" ht="15.75" customHeight="1">
      <c r="D135" s="51"/>
      <c r="E135" s="52"/>
    </row>
    <row r="136" ht="15.75" customHeight="1">
      <c r="D136" s="51"/>
      <c r="E136" s="52"/>
    </row>
    <row r="137" ht="15.75" customHeight="1">
      <c r="D137" s="51"/>
      <c r="E137" s="52"/>
    </row>
    <row r="138" ht="15.75" customHeight="1">
      <c r="D138" s="51"/>
      <c r="E138" s="52"/>
    </row>
    <row r="139" ht="15.75" customHeight="1">
      <c r="D139" s="51"/>
      <c r="E139" s="52"/>
    </row>
    <row r="140" ht="15.75" customHeight="1">
      <c r="D140" s="51"/>
      <c r="E140" s="52"/>
    </row>
    <row r="141" ht="15.75" customHeight="1">
      <c r="D141" s="51"/>
      <c r="E141" s="52"/>
    </row>
    <row r="142" ht="15.75" customHeight="1">
      <c r="D142" s="51"/>
      <c r="E142" s="52"/>
    </row>
    <row r="143" ht="15.75" customHeight="1">
      <c r="D143" s="51"/>
      <c r="E143" s="52"/>
    </row>
    <row r="144" ht="15.75" customHeight="1">
      <c r="D144" s="51"/>
      <c r="E144" s="52"/>
    </row>
    <row r="145" ht="15.75" customHeight="1">
      <c r="D145" s="51"/>
      <c r="E145" s="52"/>
    </row>
    <row r="146" ht="15.75" customHeight="1">
      <c r="D146" s="51"/>
      <c r="E146" s="52"/>
    </row>
    <row r="147" ht="15.75" customHeight="1">
      <c r="D147" s="51"/>
      <c r="E147" s="52"/>
    </row>
    <row r="148" ht="15.75" customHeight="1">
      <c r="D148" s="51"/>
      <c r="E148" s="52"/>
    </row>
    <row r="149" ht="15.75" customHeight="1">
      <c r="D149" s="51"/>
      <c r="E149" s="52"/>
    </row>
    <row r="150" ht="15.75" customHeight="1">
      <c r="D150" s="51"/>
      <c r="E150" s="52"/>
    </row>
    <row r="151" ht="15.75" customHeight="1">
      <c r="D151" s="51"/>
      <c r="E151" s="52"/>
    </row>
    <row r="152" ht="15.75" customHeight="1">
      <c r="D152" s="51"/>
      <c r="E152" s="52"/>
    </row>
    <row r="153" ht="15.75" customHeight="1">
      <c r="D153" s="51"/>
      <c r="E153" s="52"/>
    </row>
    <row r="154" ht="15.75" customHeight="1">
      <c r="D154" s="51"/>
      <c r="E154" s="52"/>
    </row>
    <row r="155" ht="15.75" customHeight="1">
      <c r="D155" s="51"/>
      <c r="E155" s="52"/>
    </row>
    <row r="156" ht="15.75" customHeight="1">
      <c r="D156" s="51"/>
      <c r="E156" s="52"/>
    </row>
    <row r="157" ht="15.75" customHeight="1">
      <c r="D157" s="51"/>
      <c r="E157" s="52"/>
    </row>
    <row r="158" ht="15.75" customHeight="1">
      <c r="D158" s="51"/>
      <c r="E158" s="52"/>
    </row>
    <row r="159" ht="15.75" customHeight="1">
      <c r="D159" s="51"/>
      <c r="E159" s="52"/>
    </row>
    <row r="160" ht="15.75" customHeight="1">
      <c r="D160" s="51"/>
      <c r="E160" s="52"/>
    </row>
    <row r="161" ht="15.75" customHeight="1">
      <c r="D161" s="51"/>
      <c r="E161" s="52"/>
    </row>
    <row r="162" ht="15.75" customHeight="1">
      <c r="D162" s="51"/>
      <c r="E162" s="52"/>
    </row>
    <row r="163" ht="15.75" customHeight="1">
      <c r="D163" s="51"/>
      <c r="E163" s="52"/>
    </row>
    <row r="164" ht="15.75" customHeight="1">
      <c r="D164" s="51"/>
      <c r="E164" s="52"/>
    </row>
    <row r="165" ht="15.75" customHeight="1">
      <c r="D165" s="51"/>
      <c r="E165" s="52"/>
    </row>
    <row r="166" ht="15.75" customHeight="1">
      <c r="D166" s="51"/>
      <c r="E166" s="52"/>
    </row>
    <row r="167" ht="15.75" customHeight="1">
      <c r="D167" s="51"/>
      <c r="E167" s="52"/>
    </row>
    <row r="168" ht="15.75" customHeight="1">
      <c r="D168" s="51"/>
      <c r="E168" s="52"/>
    </row>
    <row r="169" ht="15.75" customHeight="1">
      <c r="D169" s="51"/>
      <c r="E169" s="52"/>
    </row>
    <row r="170" ht="15.75" customHeight="1">
      <c r="D170" s="51"/>
      <c r="E170" s="52"/>
    </row>
    <row r="171" ht="15.75" customHeight="1">
      <c r="D171" s="51"/>
      <c r="E171" s="52"/>
    </row>
    <row r="172" ht="15.75" customHeight="1">
      <c r="D172" s="51"/>
      <c r="E172" s="52"/>
    </row>
    <row r="173" ht="15.75" customHeight="1">
      <c r="D173" s="51"/>
      <c r="E173" s="52"/>
    </row>
    <row r="174" ht="15.75" customHeight="1">
      <c r="D174" s="51"/>
      <c r="E174" s="52"/>
    </row>
    <row r="175" ht="15.75" customHeight="1">
      <c r="D175" s="51"/>
      <c r="E175" s="52"/>
    </row>
    <row r="176" ht="15.75" customHeight="1">
      <c r="D176" s="51"/>
      <c r="E176" s="52"/>
    </row>
    <row r="177" ht="15.75" customHeight="1">
      <c r="D177" s="51"/>
      <c r="E177" s="52"/>
    </row>
    <row r="178" ht="15.75" customHeight="1">
      <c r="D178" s="51"/>
      <c r="E178" s="52"/>
    </row>
    <row r="179" ht="15.75" customHeight="1">
      <c r="D179" s="51"/>
      <c r="E179" s="52"/>
    </row>
    <row r="180" ht="15.75" customHeight="1">
      <c r="D180" s="51"/>
      <c r="E180" s="52"/>
    </row>
    <row r="181" ht="15.75" customHeight="1">
      <c r="D181" s="51"/>
      <c r="E181" s="52"/>
    </row>
    <row r="182" ht="15.75" customHeight="1">
      <c r="D182" s="51"/>
      <c r="E182" s="52"/>
    </row>
    <row r="183" ht="15.75" customHeight="1">
      <c r="D183" s="51"/>
      <c r="E183" s="52"/>
    </row>
    <row r="184" ht="15.75" customHeight="1">
      <c r="D184" s="51"/>
      <c r="E184" s="52"/>
    </row>
    <row r="185" ht="15.75" customHeight="1">
      <c r="D185" s="51"/>
      <c r="E185" s="52"/>
    </row>
    <row r="186" ht="15.75" customHeight="1">
      <c r="D186" s="51"/>
      <c r="E186" s="52"/>
    </row>
    <row r="187" ht="15.75" customHeight="1">
      <c r="D187" s="51"/>
      <c r="E187" s="52"/>
    </row>
    <row r="188" ht="15.75" customHeight="1">
      <c r="D188" s="51"/>
      <c r="E188" s="52"/>
    </row>
    <row r="189" ht="15.75" customHeight="1">
      <c r="D189" s="51"/>
      <c r="E189" s="52"/>
    </row>
    <row r="190" ht="15.75" customHeight="1">
      <c r="D190" s="51"/>
      <c r="E190" s="52"/>
    </row>
    <row r="191" ht="15.75" customHeight="1">
      <c r="D191" s="51"/>
      <c r="E191" s="52"/>
    </row>
    <row r="192" ht="15.75" customHeight="1">
      <c r="D192" s="51"/>
      <c r="E192" s="52"/>
    </row>
    <row r="193" ht="15.75" customHeight="1">
      <c r="D193" s="51"/>
      <c r="E193" s="52"/>
    </row>
    <row r="194" ht="15.75" customHeight="1">
      <c r="D194" s="51"/>
      <c r="E194" s="52"/>
    </row>
    <row r="195" ht="15.75" customHeight="1">
      <c r="D195" s="51"/>
      <c r="E195" s="52"/>
    </row>
    <row r="196" ht="15.75" customHeight="1">
      <c r="D196" s="51"/>
      <c r="E196" s="52"/>
    </row>
    <row r="197" ht="15.75" customHeight="1">
      <c r="D197" s="51"/>
      <c r="E197" s="52"/>
    </row>
    <row r="198" ht="15.75" customHeight="1">
      <c r="D198" s="51"/>
      <c r="E198" s="52"/>
    </row>
    <row r="199" ht="15.75" customHeight="1">
      <c r="D199" s="51"/>
      <c r="E199" s="52"/>
    </row>
    <row r="200" ht="15.75" customHeight="1">
      <c r="D200" s="51"/>
      <c r="E200" s="52"/>
    </row>
    <row r="201" ht="15.75" customHeight="1">
      <c r="D201" s="51"/>
      <c r="E201" s="52"/>
    </row>
    <row r="202" ht="15.75" customHeight="1">
      <c r="D202" s="51"/>
      <c r="E202" s="52"/>
    </row>
    <row r="203" ht="15.75" customHeight="1">
      <c r="D203" s="51"/>
      <c r="E203" s="52"/>
    </row>
    <row r="204" ht="15.75" customHeight="1">
      <c r="D204" s="51"/>
      <c r="E204" s="52"/>
    </row>
    <row r="205" ht="15.75" customHeight="1">
      <c r="D205" s="51"/>
      <c r="E205" s="52"/>
    </row>
    <row r="206" ht="15.75" customHeight="1">
      <c r="D206" s="51"/>
      <c r="E206" s="52"/>
    </row>
    <row r="207" ht="15.75" customHeight="1">
      <c r="D207" s="51"/>
      <c r="E207" s="52"/>
    </row>
    <row r="208" ht="15.75" customHeight="1">
      <c r="D208" s="51"/>
      <c r="E208" s="52"/>
    </row>
    <row r="209" ht="15.75" customHeight="1">
      <c r="D209" s="51"/>
      <c r="E209" s="52"/>
    </row>
    <row r="210" ht="15.75" customHeight="1">
      <c r="D210" s="51"/>
      <c r="E210" s="52"/>
    </row>
    <row r="211" ht="15.75" customHeight="1">
      <c r="D211" s="51"/>
      <c r="E211" s="52"/>
    </row>
    <row r="212" ht="15.75" customHeight="1">
      <c r="D212" s="51"/>
      <c r="E212" s="52"/>
    </row>
    <row r="213" ht="15.75" customHeight="1">
      <c r="D213" s="51"/>
      <c r="E213" s="52"/>
    </row>
    <row r="214" ht="15.75" customHeight="1">
      <c r="D214" s="51"/>
      <c r="E214" s="52"/>
    </row>
    <row r="215" ht="15.75" customHeight="1">
      <c r="D215" s="51"/>
      <c r="E215" s="52"/>
    </row>
    <row r="216" ht="15.75" customHeight="1">
      <c r="D216" s="51"/>
      <c r="E216" s="52"/>
    </row>
    <row r="217" ht="15.75" customHeight="1">
      <c r="D217" s="51"/>
      <c r="E217" s="52"/>
    </row>
    <row r="218" ht="15.75" customHeight="1">
      <c r="D218" s="51"/>
      <c r="E218" s="52"/>
    </row>
    <row r="219" ht="15.75" customHeight="1">
      <c r="D219" s="51"/>
      <c r="E219" s="52"/>
    </row>
    <row r="220" ht="15.75" customHeight="1">
      <c r="D220" s="51"/>
      <c r="E220" s="52"/>
    </row>
    <row r="221" ht="15.75" customHeight="1">
      <c r="D221" s="51"/>
      <c r="E221" s="52"/>
    </row>
    <row r="222" ht="15.75" customHeight="1">
      <c r="D222" s="51"/>
      <c r="E222" s="52"/>
    </row>
    <row r="223" ht="15.75" customHeight="1">
      <c r="D223" s="51"/>
      <c r="E223" s="52"/>
    </row>
    <row r="224" ht="15.75" customHeight="1">
      <c r="D224" s="51"/>
      <c r="E224" s="52"/>
    </row>
    <row r="225" ht="15.75" customHeight="1">
      <c r="D225" s="51"/>
      <c r="E225" s="52"/>
    </row>
    <row r="226" ht="15.75" customHeight="1">
      <c r="D226" s="51"/>
      <c r="E226" s="52"/>
    </row>
    <row r="227" ht="15.75" customHeight="1">
      <c r="D227" s="51"/>
      <c r="E227" s="52"/>
    </row>
    <row r="228" ht="15.75" customHeight="1">
      <c r="D228" s="51"/>
      <c r="E228" s="52"/>
    </row>
    <row r="229" ht="15.75" customHeight="1">
      <c r="D229" s="51"/>
      <c r="E229" s="52"/>
    </row>
    <row r="230" ht="15.75" customHeight="1">
      <c r="D230" s="51"/>
      <c r="E230" s="52"/>
    </row>
    <row r="231" ht="15.75" customHeight="1">
      <c r="D231" s="51"/>
      <c r="E231" s="52"/>
    </row>
    <row r="232" ht="15.75" customHeight="1">
      <c r="D232" s="51"/>
      <c r="E232" s="52"/>
    </row>
    <row r="233" ht="15.75" customHeight="1">
      <c r="D233" s="51"/>
      <c r="E233" s="52"/>
    </row>
    <row r="234" ht="15.75" customHeight="1">
      <c r="D234" s="51"/>
      <c r="E234" s="52"/>
    </row>
    <row r="235" ht="15.75" customHeight="1">
      <c r="D235" s="51"/>
      <c r="E235" s="52"/>
    </row>
    <row r="236" ht="15.75" customHeight="1">
      <c r="D236" s="51"/>
      <c r="E236" s="52"/>
    </row>
    <row r="237" ht="15.75" customHeight="1">
      <c r="D237" s="51"/>
      <c r="E237" s="52"/>
    </row>
    <row r="238" ht="15.75" customHeight="1">
      <c r="D238" s="51"/>
      <c r="E238" s="52"/>
    </row>
    <row r="239" ht="15.75" customHeight="1">
      <c r="D239" s="51"/>
      <c r="E239" s="52"/>
    </row>
    <row r="240" ht="15.75" customHeight="1">
      <c r="D240" s="51"/>
      <c r="E240" s="52"/>
    </row>
    <row r="241" ht="15.75" customHeight="1">
      <c r="D241" s="51"/>
      <c r="E241" s="52"/>
    </row>
    <row r="242" ht="15.75" customHeight="1">
      <c r="D242" s="51"/>
      <c r="E242" s="52"/>
    </row>
    <row r="243" ht="15.75" customHeight="1">
      <c r="D243" s="51"/>
      <c r="E243" s="52"/>
    </row>
    <row r="244" ht="15.75" customHeight="1">
      <c r="D244" s="51"/>
      <c r="E244" s="52"/>
    </row>
    <row r="245" ht="15.75" customHeight="1">
      <c r="D245" s="51"/>
      <c r="E245" s="52"/>
    </row>
    <row r="246" ht="15.75" customHeight="1">
      <c r="D246" s="51"/>
      <c r="E246" s="52"/>
    </row>
    <row r="247" ht="15.75" customHeight="1">
      <c r="D247" s="51"/>
      <c r="E247" s="52"/>
    </row>
    <row r="248" ht="15.75" customHeight="1">
      <c r="D248" s="51"/>
      <c r="E248" s="52"/>
    </row>
    <row r="249" ht="15.75" customHeight="1">
      <c r="D249" s="51"/>
      <c r="E249" s="52"/>
    </row>
    <row r="250" ht="15.75" customHeight="1">
      <c r="D250" s="51"/>
      <c r="E250" s="52"/>
    </row>
    <row r="251" ht="15.75" customHeight="1">
      <c r="D251" s="51"/>
      <c r="E251" s="52"/>
    </row>
    <row r="252" ht="15.75" customHeight="1">
      <c r="D252" s="51"/>
      <c r="E252" s="52"/>
    </row>
    <row r="253" ht="15.75" customHeight="1">
      <c r="D253" s="51"/>
      <c r="E253" s="52"/>
    </row>
    <row r="254" ht="15.75" customHeight="1">
      <c r="D254" s="51"/>
      <c r="E254" s="52"/>
    </row>
    <row r="255" ht="15.75" customHeight="1">
      <c r="D255" s="51"/>
      <c r="E255" s="52"/>
    </row>
    <row r="256" ht="15.75" customHeight="1">
      <c r="D256" s="51"/>
      <c r="E256" s="52"/>
    </row>
    <row r="257" ht="15.75" customHeight="1">
      <c r="D257" s="51"/>
      <c r="E257" s="52"/>
    </row>
    <row r="258" ht="15.75" customHeight="1">
      <c r="D258" s="51"/>
      <c r="E258" s="52"/>
    </row>
    <row r="259" ht="15.75" customHeight="1">
      <c r="D259" s="51"/>
      <c r="E259" s="52"/>
    </row>
    <row r="260" ht="15.75" customHeight="1">
      <c r="D260" s="51"/>
      <c r="E260" s="52"/>
    </row>
    <row r="261" ht="15.75" customHeight="1">
      <c r="D261" s="51"/>
      <c r="E261" s="52"/>
    </row>
    <row r="262" ht="15.75" customHeight="1">
      <c r="D262" s="51"/>
      <c r="E262" s="52"/>
    </row>
    <row r="263" ht="15.75" customHeight="1">
      <c r="D263" s="51"/>
      <c r="E263" s="52"/>
    </row>
    <row r="264" ht="15.75" customHeight="1">
      <c r="D264" s="51"/>
      <c r="E264" s="52"/>
    </row>
    <row r="265" ht="15.75" customHeight="1">
      <c r="D265" s="51"/>
      <c r="E265" s="52"/>
    </row>
    <row r="266" ht="15.75" customHeight="1">
      <c r="D266" s="51"/>
      <c r="E266" s="52"/>
    </row>
    <row r="267" ht="15.75" customHeight="1">
      <c r="D267" s="51"/>
      <c r="E267" s="52"/>
    </row>
    <row r="268" ht="15.75" customHeight="1">
      <c r="D268" s="51"/>
      <c r="E268" s="52"/>
    </row>
    <row r="269" ht="15.75" customHeight="1">
      <c r="D269" s="51"/>
      <c r="E269" s="52"/>
    </row>
    <row r="270" ht="15.75" customHeight="1">
      <c r="D270" s="51"/>
      <c r="E270" s="52"/>
    </row>
    <row r="271" ht="15.75" customHeight="1">
      <c r="D271" s="51"/>
      <c r="E271" s="52"/>
    </row>
    <row r="272" ht="15.75" customHeight="1">
      <c r="D272" s="51"/>
      <c r="E272" s="52"/>
    </row>
    <row r="273" ht="15.75" customHeight="1">
      <c r="D273" s="51"/>
      <c r="E273" s="52"/>
    </row>
    <row r="274" ht="15.75" customHeight="1">
      <c r="D274" s="51"/>
      <c r="E274" s="52"/>
    </row>
    <row r="275" ht="15.75" customHeight="1">
      <c r="D275" s="51"/>
      <c r="E275" s="52"/>
    </row>
    <row r="276" ht="15.75" customHeight="1">
      <c r="D276" s="51"/>
      <c r="E276" s="52"/>
    </row>
    <row r="277" ht="15.75" customHeight="1">
      <c r="D277" s="51"/>
      <c r="E277" s="52"/>
    </row>
    <row r="278" ht="15.75" customHeight="1">
      <c r="D278" s="51"/>
      <c r="E278" s="52"/>
    </row>
    <row r="279" ht="15.75" customHeight="1">
      <c r="D279" s="51"/>
      <c r="E279" s="52"/>
    </row>
    <row r="280" ht="15.75" customHeight="1">
      <c r="D280" s="51"/>
      <c r="E280" s="52"/>
    </row>
    <row r="281" ht="15.75" customHeight="1">
      <c r="D281" s="51"/>
      <c r="E281" s="52"/>
    </row>
    <row r="282" ht="15.75" customHeight="1">
      <c r="D282" s="51"/>
      <c r="E282" s="52"/>
    </row>
    <row r="283" ht="15.75" customHeight="1">
      <c r="D283" s="51"/>
      <c r="E283" s="52"/>
    </row>
    <row r="284" ht="15.75" customHeight="1">
      <c r="D284" s="51"/>
      <c r="E284" s="52"/>
    </row>
    <row r="285" ht="15.75" customHeight="1">
      <c r="D285" s="51"/>
      <c r="E285" s="52"/>
    </row>
    <row r="286" ht="15.75" customHeight="1">
      <c r="D286" s="51"/>
      <c r="E286" s="52"/>
    </row>
    <row r="287" ht="15.75" customHeight="1">
      <c r="D287" s="51"/>
      <c r="E287" s="52"/>
    </row>
    <row r="288" ht="15.75" customHeight="1">
      <c r="D288" s="51"/>
      <c r="E288" s="52"/>
    </row>
    <row r="289" ht="15.75" customHeight="1">
      <c r="D289" s="51"/>
      <c r="E289" s="52"/>
    </row>
    <row r="290" ht="15.75" customHeight="1">
      <c r="D290" s="51"/>
      <c r="E290" s="52"/>
    </row>
    <row r="291" ht="15.75" customHeight="1">
      <c r="D291" s="51"/>
      <c r="E291" s="52"/>
    </row>
    <row r="292" ht="15.75" customHeight="1">
      <c r="D292" s="51"/>
      <c r="E292" s="52"/>
    </row>
    <row r="293" ht="15.75" customHeight="1">
      <c r="D293" s="51"/>
      <c r="E293" s="52"/>
    </row>
    <row r="294" ht="15.75" customHeight="1">
      <c r="D294" s="51"/>
      <c r="E294" s="52"/>
    </row>
    <row r="295" ht="15.75" customHeight="1">
      <c r="D295" s="51"/>
      <c r="E295" s="52"/>
    </row>
    <row r="296" ht="15.75" customHeight="1">
      <c r="D296" s="51"/>
      <c r="E296" s="52"/>
    </row>
    <row r="297" ht="15.75" customHeight="1">
      <c r="D297" s="51"/>
      <c r="E297" s="52"/>
    </row>
    <row r="298" ht="15.75" customHeight="1">
      <c r="D298" s="51"/>
      <c r="E298" s="52"/>
    </row>
    <row r="299" ht="15.75" customHeight="1">
      <c r="D299" s="51"/>
      <c r="E299" s="52"/>
    </row>
    <row r="300" ht="15.75" customHeight="1">
      <c r="D300" s="51"/>
      <c r="E300" s="52"/>
    </row>
    <row r="301" ht="15.75" customHeight="1">
      <c r="D301" s="51"/>
      <c r="E301" s="52"/>
    </row>
    <row r="302" ht="15.75" customHeight="1">
      <c r="D302" s="51"/>
      <c r="E302" s="52"/>
    </row>
    <row r="303" ht="15.75" customHeight="1">
      <c r="D303" s="51"/>
      <c r="E303" s="52"/>
    </row>
    <row r="304" ht="15.75" customHeight="1">
      <c r="D304" s="51"/>
      <c r="E304" s="52"/>
    </row>
    <row r="305" ht="15.75" customHeight="1">
      <c r="D305" s="51"/>
      <c r="E305" s="52"/>
    </row>
    <row r="306" ht="15.75" customHeight="1">
      <c r="D306" s="51"/>
      <c r="E306" s="52"/>
    </row>
    <row r="307" ht="15.75" customHeight="1">
      <c r="D307" s="51"/>
      <c r="E307" s="52"/>
    </row>
    <row r="308" ht="15.75" customHeight="1">
      <c r="D308" s="51"/>
      <c r="E308" s="52"/>
    </row>
    <row r="309" ht="15.75" customHeight="1">
      <c r="D309" s="51"/>
      <c r="E309" s="52"/>
    </row>
    <row r="310" ht="15.75" customHeight="1">
      <c r="D310" s="51"/>
      <c r="E310" s="52"/>
    </row>
    <row r="311" ht="15.75" customHeight="1">
      <c r="D311" s="51"/>
      <c r="E311" s="52"/>
    </row>
    <row r="312" ht="15.75" customHeight="1">
      <c r="D312" s="51"/>
      <c r="E312" s="52"/>
    </row>
    <row r="313" ht="15.75" customHeight="1">
      <c r="D313" s="51"/>
      <c r="E313" s="52"/>
    </row>
    <row r="314" ht="15.75" customHeight="1">
      <c r="D314" s="51"/>
      <c r="E314" s="52"/>
    </row>
    <row r="315" ht="15.75" customHeight="1">
      <c r="D315" s="51"/>
      <c r="E315" s="52"/>
    </row>
    <row r="316" ht="15.75" customHeight="1">
      <c r="D316" s="51"/>
      <c r="E316" s="52"/>
    </row>
    <row r="317" ht="15.75" customHeight="1">
      <c r="D317" s="51"/>
      <c r="E317" s="52"/>
    </row>
    <row r="318" ht="15.75" customHeight="1">
      <c r="D318" s="51"/>
      <c r="E318" s="52"/>
    </row>
    <row r="319" ht="15.75" customHeight="1">
      <c r="D319" s="51"/>
      <c r="E319" s="52"/>
    </row>
    <row r="320" ht="15.75" customHeight="1">
      <c r="D320" s="51"/>
      <c r="E320" s="52"/>
    </row>
    <row r="321" ht="15.75" customHeight="1">
      <c r="D321" s="51"/>
      <c r="E321" s="52"/>
    </row>
    <row r="322" ht="15.75" customHeight="1">
      <c r="D322" s="51"/>
      <c r="E322" s="52"/>
    </row>
    <row r="323" ht="15.75" customHeight="1">
      <c r="D323" s="51"/>
      <c r="E323" s="52"/>
    </row>
    <row r="324" ht="15.75" customHeight="1">
      <c r="D324" s="51"/>
      <c r="E324" s="52"/>
    </row>
    <row r="325" ht="15.75" customHeight="1">
      <c r="D325" s="51"/>
      <c r="E325" s="52"/>
    </row>
    <row r="326" ht="15.75" customHeight="1">
      <c r="D326" s="51"/>
      <c r="E326" s="52"/>
    </row>
    <row r="327" ht="15.75" customHeight="1">
      <c r="D327" s="51"/>
      <c r="E327" s="52"/>
    </row>
    <row r="328" ht="15.75" customHeight="1">
      <c r="D328" s="51"/>
      <c r="E328" s="52"/>
    </row>
    <row r="329" ht="15.75" customHeight="1">
      <c r="D329" s="51"/>
      <c r="E329" s="52"/>
    </row>
    <row r="330" ht="15.75" customHeight="1">
      <c r="D330" s="51"/>
      <c r="E330" s="52"/>
    </row>
    <row r="331" ht="15.75" customHeight="1">
      <c r="D331" s="51"/>
      <c r="E331" s="52"/>
    </row>
    <row r="332" ht="15.75" customHeight="1">
      <c r="D332" s="51"/>
      <c r="E332" s="52"/>
    </row>
    <row r="333" ht="15.75" customHeight="1">
      <c r="D333" s="51"/>
      <c r="E333" s="52"/>
    </row>
    <row r="334" ht="15.75" customHeight="1">
      <c r="D334" s="51"/>
      <c r="E334" s="52"/>
    </row>
    <row r="335" ht="15.75" customHeight="1">
      <c r="D335" s="51"/>
      <c r="E335" s="52"/>
    </row>
    <row r="336" ht="15.75" customHeight="1">
      <c r="D336" s="51"/>
      <c r="E336" s="52"/>
    </row>
    <row r="337" ht="15.75" customHeight="1">
      <c r="D337" s="51"/>
      <c r="E337" s="52"/>
    </row>
    <row r="338" ht="15.75" customHeight="1">
      <c r="D338" s="51"/>
      <c r="E338" s="52"/>
    </row>
    <row r="339" ht="15.75" customHeight="1">
      <c r="D339" s="51"/>
      <c r="E339" s="52"/>
    </row>
    <row r="340" ht="15.75" customHeight="1">
      <c r="D340" s="51"/>
      <c r="E340" s="52"/>
    </row>
    <row r="341" ht="15.75" customHeight="1">
      <c r="D341" s="51"/>
      <c r="E341" s="52"/>
    </row>
    <row r="342" ht="15.75" customHeight="1">
      <c r="D342" s="51"/>
      <c r="E342" s="52"/>
    </row>
    <row r="343" ht="15.75" customHeight="1">
      <c r="D343" s="51"/>
      <c r="E343" s="52"/>
    </row>
    <row r="344" ht="15.75" customHeight="1">
      <c r="D344" s="51"/>
      <c r="E344" s="52"/>
    </row>
    <row r="345" ht="15.75" customHeight="1">
      <c r="D345" s="51"/>
      <c r="E345" s="52"/>
    </row>
    <row r="346" ht="15.75" customHeight="1">
      <c r="D346" s="51"/>
      <c r="E346" s="52"/>
    </row>
    <row r="347" ht="15.75" customHeight="1">
      <c r="D347" s="51"/>
      <c r="E347" s="52"/>
    </row>
    <row r="348" ht="15.75" customHeight="1">
      <c r="D348" s="51"/>
      <c r="E348" s="52"/>
    </row>
    <row r="349" ht="15.75" customHeight="1">
      <c r="D349" s="51"/>
      <c r="E349" s="52"/>
    </row>
    <row r="350" ht="15.75" customHeight="1">
      <c r="D350" s="51"/>
      <c r="E350" s="52"/>
    </row>
    <row r="351" ht="15.75" customHeight="1">
      <c r="D351" s="51"/>
      <c r="E351" s="52"/>
    </row>
    <row r="352" ht="15.75" customHeight="1">
      <c r="D352" s="51"/>
      <c r="E352" s="52"/>
    </row>
    <row r="353" ht="15.75" customHeight="1">
      <c r="D353" s="51"/>
      <c r="E353" s="52"/>
    </row>
    <row r="354" ht="15.75" customHeight="1">
      <c r="D354" s="51"/>
      <c r="E354" s="52"/>
    </row>
    <row r="355" ht="15.75" customHeight="1">
      <c r="D355" s="51"/>
      <c r="E355" s="52"/>
    </row>
    <row r="356" ht="15.75" customHeight="1">
      <c r="D356" s="51"/>
      <c r="E356" s="52"/>
    </row>
    <row r="357" ht="15.75" customHeight="1">
      <c r="D357" s="51"/>
      <c r="E357" s="52"/>
    </row>
    <row r="358" ht="15.75" customHeight="1">
      <c r="D358" s="51"/>
      <c r="E358" s="52"/>
    </row>
    <row r="359" ht="15.75" customHeight="1">
      <c r="D359" s="51"/>
      <c r="E359" s="52"/>
    </row>
    <row r="360" ht="15.75" customHeight="1">
      <c r="D360" s="51"/>
      <c r="E360" s="52"/>
    </row>
    <row r="361" ht="15.75" customHeight="1">
      <c r="D361" s="51"/>
      <c r="E361" s="52"/>
    </row>
    <row r="362" ht="15.75" customHeight="1">
      <c r="D362" s="51"/>
      <c r="E362" s="52"/>
    </row>
    <row r="363" ht="15.75" customHeight="1">
      <c r="D363" s="51"/>
      <c r="E363" s="52"/>
    </row>
    <row r="364" ht="15.75" customHeight="1">
      <c r="D364" s="51"/>
      <c r="E364" s="52"/>
    </row>
    <row r="365" ht="15.75" customHeight="1">
      <c r="D365" s="51"/>
      <c r="E365" s="52"/>
    </row>
    <row r="366" ht="15.75" customHeight="1">
      <c r="D366" s="51"/>
      <c r="E366" s="52"/>
    </row>
    <row r="367" ht="15.75" customHeight="1">
      <c r="D367" s="51"/>
      <c r="E367" s="52"/>
    </row>
    <row r="368" ht="15.75" customHeight="1">
      <c r="D368" s="51"/>
      <c r="E368" s="52"/>
    </row>
    <row r="369" ht="15.75" customHeight="1">
      <c r="D369" s="51"/>
      <c r="E369" s="52"/>
    </row>
    <row r="370" ht="15.75" customHeight="1">
      <c r="D370" s="51"/>
      <c r="E370" s="52"/>
    </row>
    <row r="371" ht="15.75" customHeight="1">
      <c r="D371" s="51"/>
      <c r="E371" s="52"/>
    </row>
    <row r="372" ht="15.75" customHeight="1">
      <c r="D372" s="51"/>
      <c r="E372" s="52"/>
    </row>
    <row r="373" ht="15.75" customHeight="1">
      <c r="D373" s="51"/>
      <c r="E373" s="52"/>
    </row>
    <row r="374" ht="15.75" customHeight="1">
      <c r="D374" s="51"/>
      <c r="E374" s="52"/>
    </row>
    <row r="375" ht="15.75" customHeight="1">
      <c r="D375" s="51"/>
      <c r="E375" s="52"/>
    </row>
    <row r="376" ht="15.75" customHeight="1">
      <c r="D376" s="51"/>
      <c r="E376" s="52"/>
    </row>
    <row r="377" ht="15.75" customHeight="1">
      <c r="D377" s="51"/>
      <c r="E377" s="52"/>
    </row>
    <row r="378" ht="15.75" customHeight="1">
      <c r="D378" s="51"/>
      <c r="E378" s="52"/>
    </row>
    <row r="379" ht="15.75" customHeight="1">
      <c r="D379" s="51"/>
      <c r="E379" s="52"/>
    </row>
    <row r="380" ht="15.75" customHeight="1">
      <c r="D380" s="51"/>
      <c r="E380" s="52"/>
    </row>
    <row r="381" ht="15.75" customHeight="1">
      <c r="D381" s="51"/>
      <c r="E381" s="52"/>
    </row>
    <row r="382" ht="15.75" customHeight="1">
      <c r="D382" s="51"/>
      <c r="E382" s="52"/>
    </row>
    <row r="383" ht="15.75" customHeight="1">
      <c r="D383" s="51"/>
      <c r="E383" s="52"/>
    </row>
    <row r="384" ht="15.75" customHeight="1">
      <c r="D384" s="51"/>
      <c r="E384" s="52"/>
    </row>
    <row r="385" ht="15.75" customHeight="1">
      <c r="D385" s="51"/>
      <c r="E385" s="52"/>
    </row>
    <row r="386" ht="15.75" customHeight="1">
      <c r="D386" s="51"/>
      <c r="E386" s="52"/>
    </row>
    <row r="387" ht="15.75" customHeight="1">
      <c r="D387" s="51"/>
      <c r="E387" s="52"/>
    </row>
    <row r="388" ht="15.75" customHeight="1">
      <c r="D388" s="51"/>
      <c r="E388" s="52"/>
    </row>
    <row r="389" ht="15.75" customHeight="1">
      <c r="D389" s="51"/>
      <c r="E389" s="52"/>
    </row>
    <row r="390" ht="15.75" customHeight="1">
      <c r="D390" s="51"/>
      <c r="E390" s="52"/>
    </row>
    <row r="391" ht="15.75" customHeight="1">
      <c r="D391" s="51"/>
      <c r="E391" s="52"/>
    </row>
    <row r="392" ht="15.75" customHeight="1">
      <c r="D392" s="51"/>
      <c r="E392" s="52"/>
    </row>
    <row r="393" ht="15.75" customHeight="1">
      <c r="D393" s="51"/>
      <c r="E393" s="52"/>
    </row>
    <row r="394" ht="15.75" customHeight="1">
      <c r="D394" s="51"/>
      <c r="E394" s="52"/>
    </row>
    <row r="395" ht="15.75" customHeight="1">
      <c r="D395" s="51"/>
      <c r="E395" s="52"/>
    </row>
    <row r="396" ht="15.75" customHeight="1">
      <c r="D396" s="51"/>
      <c r="E396" s="52"/>
    </row>
    <row r="397" ht="15.75" customHeight="1">
      <c r="D397" s="51"/>
      <c r="E397" s="52"/>
    </row>
    <row r="398" ht="15.75" customHeight="1">
      <c r="D398" s="51"/>
      <c r="E398" s="52"/>
    </row>
    <row r="399" ht="15.75" customHeight="1">
      <c r="D399" s="51"/>
      <c r="E399" s="52"/>
    </row>
    <row r="400" ht="15.75" customHeight="1">
      <c r="D400" s="51"/>
      <c r="E400" s="52"/>
    </row>
    <row r="401" ht="15.75" customHeight="1">
      <c r="D401" s="51"/>
      <c r="E401" s="52"/>
    </row>
    <row r="402" ht="15.75" customHeight="1">
      <c r="D402" s="51"/>
      <c r="E402" s="52"/>
    </row>
    <row r="403" ht="15.75" customHeight="1">
      <c r="D403" s="51"/>
      <c r="E403" s="52"/>
    </row>
    <row r="404" ht="15.75" customHeight="1">
      <c r="D404" s="51"/>
      <c r="E404" s="52"/>
    </row>
    <row r="405" ht="15.75" customHeight="1">
      <c r="D405" s="51"/>
      <c r="E405" s="52"/>
    </row>
    <row r="406" ht="15.75" customHeight="1">
      <c r="D406" s="51"/>
      <c r="E406" s="52"/>
    </row>
    <row r="407" ht="15.75" customHeight="1">
      <c r="D407" s="51"/>
      <c r="E407" s="52"/>
    </row>
    <row r="408" ht="15.75" customHeight="1">
      <c r="D408" s="51"/>
      <c r="E408" s="52"/>
    </row>
    <row r="409" ht="15.75" customHeight="1">
      <c r="D409" s="51"/>
      <c r="E409" s="52"/>
    </row>
    <row r="410" ht="15.75" customHeight="1">
      <c r="D410" s="51"/>
      <c r="E410" s="52"/>
    </row>
    <row r="411" ht="15.75" customHeight="1">
      <c r="D411" s="51"/>
      <c r="E411" s="52"/>
    </row>
    <row r="412" ht="15.75" customHeight="1">
      <c r="D412" s="51"/>
      <c r="E412" s="52"/>
    </row>
    <row r="413" ht="15.75" customHeight="1">
      <c r="D413" s="51"/>
      <c r="E413" s="52"/>
    </row>
    <row r="414" ht="15.75" customHeight="1">
      <c r="D414" s="51"/>
      <c r="E414" s="52"/>
    </row>
    <row r="415" ht="15.75" customHeight="1">
      <c r="D415" s="51"/>
      <c r="E415" s="52"/>
    </row>
    <row r="416" ht="15.75" customHeight="1">
      <c r="D416" s="51"/>
      <c r="E416" s="52"/>
    </row>
    <row r="417" ht="15.75" customHeight="1">
      <c r="D417" s="51"/>
      <c r="E417" s="52"/>
    </row>
    <row r="418" ht="15.75" customHeight="1">
      <c r="D418" s="51"/>
      <c r="E418" s="52"/>
    </row>
    <row r="419" ht="15.75" customHeight="1">
      <c r="D419" s="51"/>
      <c r="E419" s="52"/>
    </row>
    <row r="420" ht="15.75" customHeight="1">
      <c r="D420" s="51"/>
      <c r="E420" s="52"/>
    </row>
    <row r="421" ht="15.75" customHeight="1">
      <c r="D421" s="51"/>
      <c r="E421" s="52"/>
    </row>
    <row r="422" ht="15.75" customHeight="1">
      <c r="D422" s="51"/>
      <c r="E422" s="52"/>
    </row>
    <row r="423" ht="15.75" customHeight="1">
      <c r="D423" s="51"/>
      <c r="E423" s="52"/>
    </row>
    <row r="424" ht="15.75" customHeight="1">
      <c r="D424" s="51"/>
      <c r="E424" s="52"/>
    </row>
    <row r="425" ht="15.75" customHeight="1">
      <c r="D425" s="51"/>
      <c r="E425" s="52"/>
    </row>
    <row r="426" ht="15.75" customHeight="1">
      <c r="D426" s="51"/>
      <c r="E426" s="52"/>
    </row>
    <row r="427" ht="15.75" customHeight="1">
      <c r="D427" s="51"/>
      <c r="E427" s="52"/>
    </row>
    <row r="428" ht="15.75" customHeight="1">
      <c r="D428" s="51"/>
      <c r="E428" s="52"/>
    </row>
    <row r="429" ht="15.75" customHeight="1">
      <c r="D429" s="51"/>
      <c r="E429" s="52"/>
    </row>
    <row r="430" ht="15.75" customHeight="1">
      <c r="D430" s="51"/>
      <c r="E430" s="52"/>
    </row>
    <row r="431" ht="15.75" customHeight="1">
      <c r="D431" s="51"/>
      <c r="E431" s="52"/>
    </row>
    <row r="432" ht="15.75" customHeight="1">
      <c r="D432" s="51"/>
      <c r="E432" s="52"/>
    </row>
    <row r="433" ht="15.75" customHeight="1">
      <c r="D433" s="51"/>
      <c r="E433" s="52"/>
    </row>
    <row r="434" ht="15.75" customHeight="1">
      <c r="D434" s="51"/>
      <c r="E434" s="52"/>
    </row>
    <row r="435" ht="15.75" customHeight="1">
      <c r="D435" s="51"/>
      <c r="E435" s="52"/>
    </row>
    <row r="436" ht="15.75" customHeight="1">
      <c r="D436" s="51"/>
      <c r="E436" s="52"/>
    </row>
    <row r="437" ht="15.75" customHeight="1">
      <c r="D437" s="51"/>
      <c r="E437" s="52"/>
    </row>
    <row r="438" ht="15.75" customHeight="1">
      <c r="D438" s="51"/>
      <c r="E438" s="52"/>
    </row>
    <row r="439" ht="15.75" customHeight="1">
      <c r="D439" s="51"/>
      <c r="E439" s="52"/>
    </row>
    <row r="440" ht="15.75" customHeight="1">
      <c r="D440" s="51"/>
      <c r="E440" s="52"/>
    </row>
    <row r="441" ht="15.75" customHeight="1">
      <c r="D441" s="51"/>
      <c r="E441" s="52"/>
    </row>
    <row r="442" ht="15.75" customHeight="1">
      <c r="D442" s="51"/>
      <c r="E442" s="52"/>
    </row>
    <row r="443" ht="15.75" customHeight="1">
      <c r="D443" s="51"/>
      <c r="E443" s="52"/>
    </row>
    <row r="444" ht="15.75" customHeight="1">
      <c r="D444" s="51"/>
      <c r="E444" s="52"/>
    </row>
    <row r="445" ht="15.75" customHeight="1">
      <c r="D445" s="51"/>
      <c r="E445" s="52"/>
    </row>
    <row r="446" ht="15.75" customHeight="1">
      <c r="D446" s="51"/>
      <c r="E446" s="52"/>
    </row>
    <row r="447" ht="15.75" customHeight="1">
      <c r="D447" s="51"/>
      <c r="E447" s="52"/>
    </row>
    <row r="448" ht="15.75" customHeight="1">
      <c r="D448" s="51"/>
      <c r="E448" s="52"/>
    </row>
    <row r="449" ht="15.75" customHeight="1">
      <c r="D449" s="51"/>
      <c r="E449" s="52"/>
    </row>
    <row r="450" ht="15.75" customHeight="1">
      <c r="D450" s="51"/>
      <c r="E450" s="52"/>
    </row>
    <row r="451" ht="15.75" customHeight="1">
      <c r="D451" s="51"/>
      <c r="E451" s="52"/>
    </row>
    <row r="452" ht="15.75" customHeight="1">
      <c r="D452" s="51"/>
      <c r="E452" s="52"/>
    </row>
    <row r="453" ht="15.75" customHeight="1">
      <c r="D453" s="51"/>
      <c r="E453" s="52"/>
    </row>
    <row r="454" ht="15.75" customHeight="1">
      <c r="D454" s="51"/>
      <c r="E454" s="52"/>
    </row>
    <row r="455" ht="15.75" customHeight="1">
      <c r="D455" s="51"/>
      <c r="E455" s="52"/>
    </row>
    <row r="456" ht="15.75" customHeight="1">
      <c r="D456" s="51"/>
      <c r="E456" s="52"/>
    </row>
    <row r="457" ht="15.75" customHeight="1">
      <c r="D457" s="51"/>
      <c r="E457" s="52"/>
    </row>
    <row r="458" ht="15.75" customHeight="1">
      <c r="D458" s="51"/>
      <c r="E458" s="52"/>
    </row>
    <row r="459" ht="15.75" customHeight="1">
      <c r="D459" s="51"/>
      <c r="E459" s="52"/>
    </row>
    <row r="460" ht="15.75" customHeight="1">
      <c r="D460" s="51"/>
      <c r="E460" s="52"/>
    </row>
    <row r="461" ht="15.75" customHeight="1">
      <c r="D461" s="51"/>
      <c r="E461" s="52"/>
    </row>
    <row r="462" ht="15.75" customHeight="1">
      <c r="D462" s="51"/>
      <c r="E462" s="52"/>
    </row>
    <row r="463" ht="15.75" customHeight="1">
      <c r="D463" s="51"/>
      <c r="E463" s="52"/>
    </row>
    <row r="464" ht="15.75" customHeight="1">
      <c r="D464" s="51"/>
      <c r="E464" s="52"/>
    </row>
    <row r="465" ht="15.75" customHeight="1">
      <c r="D465" s="51"/>
      <c r="E465" s="52"/>
    </row>
    <row r="466" ht="15.75" customHeight="1">
      <c r="D466" s="51"/>
      <c r="E466" s="52"/>
    </row>
    <row r="467" ht="15.75" customHeight="1">
      <c r="D467" s="51"/>
      <c r="E467" s="52"/>
    </row>
    <row r="468" ht="15.75" customHeight="1">
      <c r="D468" s="51"/>
      <c r="E468" s="52"/>
    </row>
    <row r="469" ht="15.75" customHeight="1">
      <c r="D469" s="51"/>
      <c r="E469" s="52"/>
    </row>
    <row r="470" ht="15.75" customHeight="1">
      <c r="D470" s="51"/>
      <c r="E470" s="52"/>
    </row>
    <row r="471" ht="15.75" customHeight="1">
      <c r="D471" s="51"/>
      <c r="E471" s="52"/>
    </row>
    <row r="472" ht="15.75" customHeight="1">
      <c r="D472" s="51"/>
      <c r="E472" s="52"/>
    </row>
    <row r="473" ht="15.75" customHeight="1">
      <c r="D473" s="51"/>
      <c r="E473" s="52"/>
    </row>
    <row r="474" ht="15.75" customHeight="1">
      <c r="D474" s="51"/>
      <c r="E474" s="52"/>
    </row>
    <row r="475" ht="15.75" customHeight="1">
      <c r="D475" s="51"/>
      <c r="E475" s="52"/>
    </row>
    <row r="476" ht="15.75" customHeight="1">
      <c r="D476" s="51"/>
      <c r="E476" s="52"/>
    </row>
    <row r="477" ht="15.75" customHeight="1">
      <c r="D477" s="51"/>
      <c r="E477" s="52"/>
    </row>
    <row r="478" ht="15.75" customHeight="1">
      <c r="D478" s="51"/>
      <c r="E478" s="52"/>
    </row>
    <row r="479" ht="15.75" customHeight="1">
      <c r="D479" s="51"/>
      <c r="E479" s="52"/>
    </row>
    <row r="480" ht="15.75" customHeight="1">
      <c r="D480" s="51"/>
      <c r="E480" s="52"/>
    </row>
    <row r="481" ht="15.75" customHeight="1">
      <c r="D481" s="51"/>
      <c r="E481" s="52"/>
    </row>
    <row r="482" ht="15.75" customHeight="1">
      <c r="D482" s="51"/>
      <c r="E482" s="52"/>
    </row>
    <row r="483" ht="15.75" customHeight="1">
      <c r="D483" s="51"/>
      <c r="E483" s="52"/>
    </row>
    <row r="484" ht="15.75" customHeight="1">
      <c r="D484" s="51"/>
      <c r="E484" s="52"/>
    </row>
    <row r="485" ht="15.75" customHeight="1">
      <c r="D485" s="51"/>
      <c r="E485" s="52"/>
    </row>
    <row r="486" ht="15.75" customHeight="1">
      <c r="D486" s="51"/>
      <c r="E486" s="52"/>
    </row>
    <row r="487" ht="15.75" customHeight="1">
      <c r="D487" s="51"/>
      <c r="E487" s="52"/>
    </row>
    <row r="488" ht="15.75" customHeight="1">
      <c r="D488" s="51"/>
      <c r="E488" s="52"/>
    </row>
    <row r="489" ht="15.75" customHeight="1">
      <c r="D489" s="51"/>
      <c r="E489" s="52"/>
    </row>
    <row r="490" ht="15.75" customHeight="1">
      <c r="D490" s="51"/>
      <c r="E490" s="52"/>
    </row>
    <row r="491" ht="15.75" customHeight="1">
      <c r="D491" s="51"/>
      <c r="E491" s="52"/>
    </row>
    <row r="492" ht="15.75" customHeight="1">
      <c r="D492" s="51"/>
      <c r="E492" s="52"/>
    </row>
    <row r="493" ht="15.75" customHeight="1">
      <c r="D493" s="51"/>
      <c r="E493" s="52"/>
    </row>
    <row r="494" ht="15.75" customHeight="1">
      <c r="D494" s="51"/>
      <c r="E494" s="52"/>
    </row>
    <row r="495" ht="15.75" customHeight="1">
      <c r="D495" s="51"/>
      <c r="E495" s="52"/>
    </row>
    <row r="496" ht="15.75" customHeight="1">
      <c r="D496" s="51"/>
      <c r="E496" s="52"/>
    </row>
    <row r="497" ht="15.75" customHeight="1">
      <c r="D497" s="51"/>
      <c r="E497" s="52"/>
    </row>
    <row r="498" ht="15.75" customHeight="1">
      <c r="D498" s="51"/>
      <c r="E498" s="52"/>
    </row>
    <row r="499" ht="15.75" customHeight="1">
      <c r="D499" s="51"/>
      <c r="E499" s="52"/>
    </row>
    <row r="500" ht="15.75" customHeight="1">
      <c r="D500" s="51"/>
      <c r="E500" s="52"/>
    </row>
    <row r="501" ht="15.75" customHeight="1">
      <c r="D501" s="51"/>
      <c r="E501" s="52"/>
    </row>
    <row r="502" ht="15.75" customHeight="1">
      <c r="D502" s="51"/>
      <c r="E502" s="52"/>
    </row>
    <row r="503" ht="15.75" customHeight="1">
      <c r="D503" s="51"/>
      <c r="E503" s="52"/>
    </row>
    <row r="504" ht="15.75" customHeight="1">
      <c r="D504" s="51"/>
      <c r="E504" s="52"/>
    </row>
    <row r="505" ht="15.75" customHeight="1">
      <c r="D505" s="51"/>
      <c r="E505" s="52"/>
    </row>
    <row r="506" ht="15.75" customHeight="1">
      <c r="D506" s="51"/>
      <c r="E506" s="52"/>
    </row>
    <row r="507" ht="15.75" customHeight="1">
      <c r="D507" s="51"/>
      <c r="E507" s="52"/>
    </row>
    <row r="508" ht="15.75" customHeight="1">
      <c r="D508" s="51"/>
      <c r="E508" s="52"/>
    </row>
    <row r="509" ht="15.75" customHeight="1">
      <c r="D509" s="51"/>
      <c r="E509" s="52"/>
    </row>
    <row r="510" ht="15.75" customHeight="1">
      <c r="D510" s="51"/>
      <c r="E510" s="52"/>
    </row>
    <row r="511" ht="15.75" customHeight="1">
      <c r="D511" s="51"/>
      <c r="E511" s="52"/>
    </row>
    <row r="512" ht="15.75" customHeight="1">
      <c r="D512" s="51"/>
      <c r="E512" s="52"/>
    </row>
    <row r="513" ht="15.75" customHeight="1">
      <c r="D513" s="51"/>
      <c r="E513" s="52"/>
    </row>
    <row r="514" ht="15.75" customHeight="1">
      <c r="D514" s="51"/>
      <c r="E514" s="52"/>
    </row>
    <row r="515" ht="15.75" customHeight="1">
      <c r="D515" s="51"/>
      <c r="E515" s="52"/>
    </row>
    <row r="516" ht="15.75" customHeight="1">
      <c r="D516" s="51"/>
      <c r="E516" s="52"/>
    </row>
    <row r="517" ht="15.75" customHeight="1">
      <c r="D517" s="51"/>
      <c r="E517" s="52"/>
    </row>
    <row r="518" ht="15.75" customHeight="1">
      <c r="D518" s="51"/>
      <c r="E518" s="52"/>
    </row>
    <row r="519" ht="15.75" customHeight="1">
      <c r="D519" s="51"/>
      <c r="E519" s="52"/>
    </row>
    <row r="520" ht="15.75" customHeight="1">
      <c r="D520" s="51"/>
      <c r="E520" s="52"/>
    </row>
    <row r="521" ht="15.75" customHeight="1">
      <c r="D521" s="51"/>
      <c r="E521" s="52"/>
    </row>
    <row r="522" ht="15.75" customHeight="1">
      <c r="D522" s="51"/>
      <c r="E522" s="52"/>
    </row>
    <row r="523" ht="15.75" customHeight="1">
      <c r="D523" s="51"/>
      <c r="E523" s="52"/>
    </row>
    <row r="524" ht="15.75" customHeight="1">
      <c r="D524" s="51"/>
      <c r="E524" s="52"/>
    </row>
    <row r="525" ht="15.75" customHeight="1">
      <c r="D525" s="51"/>
      <c r="E525" s="52"/>
    </row>
    <row r="526" ht="15.75" customHeight="1">
      <c r="D526" s="51"/>
      <c r="E526" s="52"/>
    </row>
    <row r="527" ht="15.75" customHeight="1">
      <c r="D527" s="51"/>
      <c r="E527" s="52"/>
    </row>
    <row r="528" ht="15.75" customHeight="1">
      <c r="D528" s="51"/>
      <c r="E528" s="52"/>
    </row>
    <row r="529" ht="15.75" customHeight="1">
      <c r="D529" s="51"/>
      <c r="E529" s="52"/>
    </row>
    <row r="530" ht="15.75" customHeight="1">
      <c r="D530" s="51"/>
      <c r="E530" s="52"/>
    </row>
    <row r="531" ht="15.75" customHeight="1">
      <c r="D531" s="51"/>
      <c r="E531" s="52"/>
    </row>
    <row r="532" ht="15.75" customHeight="1">
      <c r="D532" s="51"/>
      <c r="E532" s="52"/>
    </row>
    <row r="533" ht="15.75" customHeight="1">
      <c r="D533" s="51"/>
      <c r="E533" s="52"/>
    </row>
    <row r="534" ht="15.75" customHeight="1">
      <c r="D534" s="51"/>
      <c r="E534" s="52"/>
    </row>
    <row r="535" ht="15.75" customHeight="1">
      <c r="D535" s="51"/>
      <c r="E535" s="52"/>
    </row>
    <row r="536" ht="15.75" customHeight="1">
      <c r="D536" s="51"/>
      <c r="E536" s="52"/>
    </row>
    <row r="537" ht="15.75" customHeight="1">
      <c r="D537" s="51"/>
      <c r="E537" s="52"/>
    </row>
    <row r="538" ht="15.75" customHeight="1">
      <c r="D538" s="51"/>
      <c r="E538" s="52"/>
    </row>
    <row r="539" ht="15.75" customHeight="1">
      <c r="D539" s="51"/>
      <c r="E539" s="52"/>
    </row>
    <row r="540" ht="15.75" customHeight="1">
      <c r="D540" s="51"/>
      <c r="E540" s="52"/>
    </row>
    <row r="541" ht="15.75" customHeight="1">
      <c r="D541" s="51"/>
      <c r="E541" s="52"/>
    </row>
    <row r="542" ht="15.75" customHeight="1">
      <c r="D542" s="51"/>
      <c r="E542" s="52"/>
    </row>
    <row r="543" ht="15.75" customHeight="1">
      <c r="D543" s="51"/>
      <c r="E543" s="52"/>
    </row>
    <row r="544" ht="15.75" customHeight="1">
      <c r="D544" s="51"/>
      <c r="E544" s="52"/>
    </row>
    <row r="545" ht="15.75" customHeight="1">
      <c r="D545" s="51"/>
      <c r="E545" s="52"/>
    </row>
    <row r="546" ht="15.75" customHeight="1">
      <c r="D546" s="51"/>
      <c r="E546" s="52"/>
    </row>
    <row r="547" ht="15.75" customHeight="1">
      <c r="D547" s="51"/>
      <c r="E547" s="52"/>
    </row>
    <row r="548" ht="15.75" customHeight="1">
      <c r="D548" s="51"/>
      <c r="E548" s="52"/>
    </row>
    <row r="549" ht="15.75" customHeight="1">
      <c r="D549" s="51"/>
      <c r="E549" s="52"/>
    </row>
    <row r="550" ht="15.75" customHeight="1">
      <c r="D550" s="51"/>
      <c r="E550" s="52"/>
    </row>
    <row r="551" ht="15.75" customHeight="1">
      <c r="D551" s="51"/>
      <c r="E551" s="52"/>
    </row>
    <row r="552" ht="15.75" customHeight="1">
      <c r="D552" s="51"/>
      <c r="E552" s="52"/>
    </row>
    <row r="553" ht="15.75" customHeight="1">
      <c r="D553" s="51"/>
      <c r="E553" s="52"/>
    </row>
    <row r="554" ht="15.75" customHeight="1">
      <c r="D554" s="51"/>
      <c r="E554" s="52"/>
    </row>
    <row r="555" ht="15.75" customHeight="1">
      <c r="D555" s="51"/>
      <c r="E555" s="52"/>
    </row>
    <row r="556" ht="15.75" customHeight="1">
      <c r="D556" s="51"/>
      <c r="E556" s="52"/>
    </row>
    <row r="557" ht="15.75" customHeight="1">
      <c r="D557" s="51"/>
      <c r="E557" s="52"/>
    </row>
    <row r="558" ht="15.75" customHeight="1">
      <c r="D558" s="51"/>
      <c r="E558" s="52"/>
    </row>
    <row r="559" ht="15.75" customHeight="1">
      <c r="D559" s="51"/>
      <c r="E559" s="52"/>
    </row>
    <row r="560" ht="15.75" customHeight="1">
      <c r="D560" s="51"/>
      <c r="E560" s="52"/>
    </row>
    <row r="561" ht="15.75" customHeight="1">
      <c r="D561" s="51"/>
      <c r="E561" s="52"/>
    </row>
    <row r="562" ht="15.75" customHeight="1">
      <c r="D562" s="51"/>
      <c r="E562" s="52"/>
    </row>
    <row r="563" ht="15.75" customHeight="1">
      <c r="D563" s="51"/>
      <c r="E563" s="52"/>
    </row>
    <row r="564" ht="15.75" customHeight="1">
      <c r="D564" s="51"/>
      <c r="E564" s="52"/>
    </row>
    <row r="565" ht="15.75" customHeight="1">
      <c r="D565" s="51"/>
      <c r="E565" s="52"/>
    </row>
    <row r="566" ht="15.75" customHeight="1">
      <c r="D566" s="51"/>
      <c r="E566" s="52"/>
    </row>
    <row r="567" ht="15.75" customHeight="1">
      <c r="D567" s="51"/>
      <c r="E567" s="52"/>
    </row>
    <row r="568" ht="15.75" customHeight="1">
      <c r="D568" s="51"/>
      <c r="E568" s="52"/>
    </row>
    <row r="569" ht="15.75" customHeight="1">
      <c r="D569" s="51"/>
      <c r="E569" s="52"/>
    </row>
    <row r="570" ht="15.75" customHeight="1">
      <c r="D570" s="51"/>
      <c r="E570" s="52"/>
    </row>
    <row r="571" ht="15.75" customHeight="1">
      <c r="D571" s="51"/>
      <c r="E571" s="52"/>
    </row>
    <row r="572" ht="15.75" customHeight="1">
      <c r="D572" s="51"/>
      <c r="E572" s="52"/>
    </row>
    <row r="573" ht="15.75" customHeight="1">
      <c r="D573" s="51"/>
      <c r="E573" s="52"/>
    </row>
    <row r="574" ht="15.75" customHeight="1">
      <c r="D574" s="51"/>
      <c r="E574" s="52"/>
    </row>
    <row r="575" ht="15.75" customHeight="1">
      <c r="D575" s="51"/>
      <c r="E575" s="52"/>
    </row>
    <row r="576" ht="15.75" customHeight="1">
      <c r="D576" s="51"/>
      <c r="E576" s="52"/>
    </row>
    <row r="577" ht="15.75" customHeight="1">
      <c r="D577" s="51"/>
      <c r="E577" s="52"/>
    </row>
    <row r="578" ht="15.75" customHeight="1">
      <c r="D578" s="51"/>
      <c r="E578" s="52"/>
    </row>
    <row r="579" ht="15.75" customHeight="1">
      <c r="D579" s="51"/>
      <c r="E579" s="52"/>
    </row>
    <row r="580" ht="15.75" customHeight="1">
      <c r="D580" s="51"/>
      <c r="E580" s="52"/>
    </row>
    <row r="581" ht="15.75" customHeight="1">
      <c r="D581" s="51"/>
      <c r="E581" s="52"/>
    </row>
    <row r="582" ht="15.75" customHeight="1">
      <c r="D582" s="51"/>
      <c r="E582" s="52"/>
    </row>
    <row r="583" ht="15.75" customHeight="1">
      <c r="D583" s="51"/>
      <c r="E583" s="52"/>
    </row>
    <row r="584" ht="15.75" customHeight="1">
      <c r="D584" s="51"/>
      <c r="E584" s="52"/>
    </row>
    <row r="585" ht="15.75" customHeight="1">
      <c r="D585" s="51"/>
      <c r="E585" s="52"/>
    </row>
    <row r="586" ht="15.75" customHeight="1">
      <c r="D586" s="51"/>
      <c r="E586" s="52"/>
    </row>
    <row r="587" ht="15.75" customHeight="1">
      <c r="D587" s="51"/>
      <c r="E587" s="52"/>
    </row>
    <row r="588" ht="15.75" customHeight="1">
      <c r="D588" s="51"/>
      <c r="E588" s="52"/>
    </row>
    <row r="589" ht="15.75" customHeight="1">
      <c r="D589" s="51"/>
      <c r="E589" s="52"/>
    </row>
    <row r="590" ht="15.75" customHeight="1">
      <c r="D590" s="51"/>
      <c r="E590" s="52"/>
    </row>
    <row r="591" ht="15.75" customHeight="1">
      <c r="D591" s="51"/>
      <c r="E591" s="52"/>
    </row>
    <row r="592" ht="15.75" customHeight="1">
      <c r="D592" s="51"/>
      <c r="E592" s="52"/>
    </row>
    <row r="593" ht="15.75" customHeight="1">
      <c r="D593" s="51"/>
      <c r="E593" s="52"/>
    </row>
    <row r="594" ht="15.75" customHeight="1">
      <c r="D594" s="51"/>
      <c r="E594" s="52"/>
    </row>
    <row r="595" ht="15.75" customHeight="1">
      <c r="D595" s="51"/>
      <c r="E595" s="52"/>
    </row>
    <row r="596" ht="15.75" customHeight="1">
      <c r="D596" s="51"/>
      <c r="E596" s="52"/>
    </row>
    <row r="597" ht="15.75" customHeight="1">
      <c r="D597" s="51"/>
      <c r="E597" s="52"/>
    </row>
    <row r="598" ht="15.75" customHeight="1">
      <c r="D598" s="51"/>
      <c r="E598" s="52"/>
    </row>
    <row r="599" ht="15.75" customHeight="1">
      <c r="D599" s="51"/>
      <c r="E599" s="52"/>
    </row>
    <row r="600" ht="15.75" customHeight="1">
      <c r="D600" s="51"/>
      <c r="E600" s="52"/>
    </row>
    <row r="601" ht="15.75" customHeight="1">
      <c r="D601" s="51"/>
      <c r="E601" s="52"/>
    </row>
    <row r="602" ht="15.75" customHeight="1">
      <c r="D602" s="51"/>
      <c r="E602" s="52"/>
    </row>
    <row r="603" ht="15.75" customHeight="1">
      <c r="D603" s="51"/>
      <c r="E603" s="52"/>
    </row>
    <row r="604" ht="15.75" customHeight="1">
      <c r="D604" s="51"/>
      <c r="E604" s="52"/>
    </row>
    <row r="605" ht="15.75" customHeight="1">
      <c r="D605" s="51"/>
      <c r="E605" s="52"/>
    </row>
    <row r="606" ht="15.75" customHeight="1">
      <c r="D606" s="51"/>
      <c r="E606" s="52"/>
    </row>
    <row r="607" ht="15.75" customHeight="1">
      <c r="D607" s="51"/>
      <c r="E607" s="52"/>
    </row>
    <row r="608" ht="15.75" customHeight="1">
      <c r="D608" s="51"/>
      <c r="E608" s="52"/>
    </row>
    <row r="609" ht="15.75" customHeight="1">
      <c r="D609" s="51"/>
      <c r="E609" s="52"/>
    </row>
    <row r="610" ht="15.75" customHeight="1">
      <c r="D610" s="51"/>
      <c r="E610" s="52"/>
    </row>
    <row r="611" ht="15.75" customHeight="1">
      <c r="D611" s="51"/>
      <c r="E611" s="52"/>
    </row>
    <row r="612" ht="15.75" customHeight="1">
      <c r="D612" s="51"/>
      <c r="E612" s="52"/>
    </row>
    <row r="613" ht="15.75" customHeight="1">
      <c r="D613" s="51"/>
      <c r="E613" s="52"/>
    </row>
    <row r="614" ht="15.75" customHeight="1">
      <c r="D614" s="51"/>
      <c r="E614" s="52"/>
    </row>
    <row r="615" ht="15.75" customHeight="1">
      <c r="D615" s="51"/>
      <c r="E615" s="52"/>
    </row>
    <row r="616" ht="15.75" customHeight="1">
      <c r="D616" s="51"/>
      <c r="E616" s="52"/>
    </row>
    <row r="617" ht="15.75" customHeight="1">
      <c r="D617" s="51"/>
      <c r="E617" s="52"/>
    </row>
    <row r="618" ht="15.75" customHeight="1">
      <c r="D618" s="51"/>
      <c r="E618" s="52"/>
    </row>
    <row r="619" ht="15.75" customHeight="1">
      <c r="D619" s="51"/>
      <c r="E619" s="52"/>
    </row>
    <row r="620" ht="15.75" customHeight="1">
      <c r="D620" s="51"/>
      <c r="E620" s="52"/>
    </row>
    <row r="621" ht="15.75" customHeight="1">
      <c r="D621" s="51"/>
      <c r="E621" s="52"/>
    </row>
    <row r="622" ht="15.75" customHeight="1">
      <c r="D622" s="51"/>
      <c r="E622" s="52"/>
    </row>
    <row r="623" ht="15.75" customHeight="1">
      <c r="D623" s="51"/>
      <c r="E623" s="52"/>
    </row>
    <row r="624" ht="15.75" customHeight="1">
      <c r="D624" s="51"/>
      <c r="E624" s="52"/>
    </row>
    <row r="625" ht="15.75" customHeight="1">
      <c r="D625" s="51"/>
      <c r="E625" s="52"/>
    </row>
    <row r="626" ht="15.75" customHeight="1">
      <c r="D626" s="51"/>
      <c r="E626" s="52"/>
    </row>
    <row r="627" ht="15.75" customHeight="1">
      <c r="D627" s="51"/>
      <c r="E627" s="52"/>
    </row>
    <row r="628" ht="15.75" customHeight="1">
      <c r="D628" s="51"/>
      <c r="E628" s="52"/>
    </row>
    <row r="629" ht="15.75" customHeight="1">
      <c r="D629" s="51"/>
      <c r="E629" s="52"/>
    </row>
    <row r="630" ht="15.75" customHeight="1">
      <c r="D630" s="51"/>
      <c r="E630" s="52"/>
    </row>
    <row r="631" ht="15.75" customHeight="1">
      <c r="D631" s="51"/>
      <c r="E631" s="52"/>
    </row>
    <row r="632" ht="15.75" customHeight="1">
      <c r="D632" s="51"/>
      <c r="E632" s="52"/>
    </row>
    <row r="633" ht="15.75" customHeight="1">
      <c r="D633" s="51"/>
      <c r="E633" s="52"/>
    </row>
    <row r="634" ht="15.75" customHeight="1">
      <c r="D634" s="51"/>
      <c r="E634" s="52"/>
    </row>
    <row r="635" ht="15.75" customHeight="1">
      <c r="D635" s="51"/>
      <c r="E635" s="52"/>
    </row>
    <row r="636" ht="15.75" customHeight="1">
      <c r="D636" s="51"/>
      <c r="E636" s="52"/>
    </row>
    <row r="637" ht="15.75" customHeight="1">
      <c r="D637" s="51"/>
      <c r="E637" s="52"/>
    </row>
    <row r="638" ht="15.75" customHeight="1">
      <c r="D638" s="51"/>
      <c r="E638" s="52"/>
    </row>
    <row r="639" ht="15.75" customHeight="1">
      <c r="D639" s="51"/>
      <c r="E639" s="52"/>
    </row>
    <row r="640" ht="15.75" customHeight="1">
      <c r="D640" s="51"/>
      <c r="E640" s="52"/>
    </row>
    <row r="641" ht="15.75" customHeight="1">
      <c r="D641" s="51"/>
      <c r="E641" s="52"/>
    </row>
    <row r="642" ht="15.75" customHeight="1">
      <c r="D642" s="51"/>
      <c r="E642" s="52"/>
    </row>
    <row r="643" ht="15.75" customHeight="1">
      <c r="D643" s="51"/>
      <c r="E643" s="52"/>
    </row>
    <row r="644" ht="15.75" customHeight="1">
      <c r="D644" s="51"/>
      <c r="E644" s="52"/>
    </row>
    <row r="645" ht="15.75" customHeight="1">
      <c r="D645" s="51"/>
      <c r="E645" s="52"/>
    </row>
    <row r="646" ht="15.75" customHeight="1">
      <c r="D646" s="51"/>
      <c r="E646" s="52"/>
    </row>
    <row r="647" ht="15.75" customHeight="1">
      <c r="D647" s="51"/>
      <c r="E647" s="52"/>
    </row>
    <row r="648" ht="15.75" customHeight="1">
      <c r="D648" s="51"/>
      <c r="E648" s="52"/>
    </row>
    <row r="649" ht="15.75" customHeight="1">
      <c r="D649" s="51"/>
      <c r="E649" s="52"/>
    </row>
    <row r="650" ht="15.75" customHeight="1">
      <c r="D650" s="51"/>
      <c r="E650" s="52"/>
    </row>
    <row r="651" ht="15.75" customHeight="1">
      <c r="D651" s="51"/>
      <c r="E651" s="52"/>
    </row>
    <row r="652" ht="15.75" customHeight="1">
      <c r="D652" s="51"/>
      <c r="E652" s="52"/>
    </row>
    <row r="653" ht="15.75" customHeight="1">
      <c r="D653" s="51"/>
      <c r="E653" s="52"/>
    </row>
    <row r="654" ht="15.75" customHeight="1">
      <c r="D654" s="51"/>
      <c r="E654" s="52"/>
    </row>
    <row r="655" ht="15.75" customHeight="1">
      <c r="D655" s="51"/>
      <c r="E655" s="52"/>
    </row>
    <row r="656" ht="15.75" customHeight="1">
      <c r="D656" s="51"/>
      <c r="E656" s="52"/>
    </row>
    <row r="657" ht="15.75" customHeight="1">
      <c r="D657" s="51"/>
      <c r="E657" s="52"/>
    </row>
    <row r="658" ht="15.75" customHeight="1">
      <c r="D658" s="51"/>
      <c r="E658" s="52"/>
    </row>
    <row r="659" ht="15.75" customHeight="1">
      <c r="D659" s="51"/>
      <c r="E659" s="52"/>
    </row>
    <row r="660" ht="15.75" customHeight="1">
      <c r="D660" s="51"/>
      <c r="E660" s="52"/>
    </row>
    <row r="661" ht="15.75" customHeight="1">
      <c r="D661" s="51"/>
      <c r="E661" s="52"/>
    </row>
    <row r="662" ht="15.75" customHeight="1">
      <c r="D662" s="51"/>
      <c r="E662" s="52"/>
    </row>
    <row r="663" ht="15.75" customHeight="1">
      <c r="D663" s="51"/>
      <c r="E663" s="52"/>
    </row>
    <row r="664" ht="15.75" customHeight="1">
      <c r="D664" s="51"/>
      <c r="E664" s="52"/>
    </row>
    <row r="665" ht="15.75" customHeight="1">
      <c r="D665" s="51"/>
      <c r="E665" s="52"/>
    </row>
    <row r="666" ht="15.75" customHeight="1">
      <c r="D666" s="51"/>
      <c r="E666" s="52"/>
    </row>
    <row r="667" ht="15.75" customHeight="1">
      <c r="D667" s="51"/>
      <c r="E667" s="52"/>
    </row>
    <row r="668" ht="15.75" customHeight="1">
      <c r="D668" s="51"/>
      <c r="E668" s="52"/>
    </row>
    <row r="669" ht="15.75" customHeight="1">
      <c r="D669" s="51"/>
      <c r="E669" s="52"/>
    </row>
    <row r="670" ht="15.75" customHeight="1">
      <c r="D670" s="51"/>
      <c r="E670" s="52"/>
    </row>
    <row r="671" ht="15.75" customHeight="1">
      <c r="D671" s="51"/>
      <c r="E671" s="52"/>
    </row>
    <row r="672" ht="15.75" customHeight="1">
      <c r="D672" s="51"/>
      <c r="E672" s="52"/>
    </row>
    <row r="673" ht="15.75" customHeight="1">
      <c r="D673" s="51"/>
      <c r="E673" s="52"/>
    </row>
    <row r="674" ht="15.75" customHeight="1">
      <c r="D674" s="51"/>
      <c r="E674" s="52"/>
    </row>
    <row r="675" ht="15.75" customHeight="1">
      <c r="D675" s="51"/>
      <c r="E675" s="52"/>
    </row>
    <row r="676" ht="15.75" customHeight="1">
      <c r="D676" s="51"/>
      <c r="E676" s="52"/>
    </row>
    <row r="677" ht="15.75" customHeight="1">
      <c r="D677" s="51"/>
      <c r="E677" s="52"/>
    </row>
    <row r="678" ht="15.75" customHeight="1">
      <c r="D678" s="51"/>
      <c r="E678" s="52"/>
    </row>
    <row r="679" ht="15.75" customHeight="1">
      <c r="D679" s="51"/>
      <c r="E679" s="52"/>
    </row>
    <row r="680" ht="15.75" customHeight="1">
      <c r="D680" s="51"/>
      <c r="E680" s="52"/>
    </row>
    <row r="681" ht="15.75" customHeight="1">
      <c r="D681" s="51"/>
      <c r="E681" s="52"/>
    </row>
    <row r="682" ht="15.75" customHeight="1">
      <c r="D682" s="51"/>
      <c r="E682" s="52"/>
    </row>
    <row r="683" ht="15.75" customHeight="1">
      <c r="D683" s="51"/>
      <c r="E683" s="52"/>
    </row>
    <row r="684" ht="15.75" customHeight="1">
      <c r="D684" s="51"/>
      <c r="E684" s="52"/>
    </row>
    <row r="685" ht="15.75" customHeight="1">
      <c r="D685" s="51"/>
      <c r="E685" s="52"/>
    </row>
    <row r="686" ht="15.75" customHeight="1">
      <c r="D686" s="51"/>
      <c r="E686" s="52"/>
    </row>
    <row r="687" ht="15.75" customHeight="1">
      <c r="D687" s="51"/>
      <c r="E687" s="52"/>
    </row>
    <row r="688" ht="15.75" customHeight="1">
      <c r="D688" s="51"/>
      <c r="E688" s="52"/>
    </row>
    <row r="689" ht="15.75" customHeight="1">
      <c r="D689" s="51"/>
      <c r="E689" s="52"/>
    </row>
    <row r="690" ht="15.75" customHeight="1">
      <c r="D690" s="51"/>
      <c r="E690" s="52"/>
    </row>
    <row r="691" ht="15.75" customHeight="1">
      <c r="D691" s="51"/>
      <c r="E691" s="52"/>
    </row>
    <row r="692" ht="15.75" customHeight="1">
      <c r="D692" s="51"/>
      <c r="E692" s="52"/>
    </row>
    <row r="693" ht="15.75" customHeight="1">
      <c r="D693" s="51"/>
      <c r="E693" s="52"/>
    </row>
    <row r="694" ht="15.75" customHeight="1">
      <c r="D694" s="51"/>
      <c r="E694" s="52"/>
    </row>
    <row r="695" ht="15.75" customHeight="1">
      <c r="D695" s="51"/>
      <c r="E695" s="52"/>
    </row>
    <row r="696" ht="15.75" customHeight="1">
      <c r="D696" s="51"/>
      <c r="E696" s="52"/>
    </row>
    <row r="697" ht="15.75" customHeight="1">
      <c r="D697" s="51"/>
      <c r="E697" s="52"/>
    </row>
    <row r="698" ht="15.75" customHeight="1">
      <c r="D698" s="51"/>
      <c r="E698" s="52"/>
    </row>
    <row r="699" ht="15.75" customHeight="1">
      <c r="D699" s="51"/>
      <c r="E699" s="52"/>
    </row>
    <row r="700" ht="15.75" customHeight="1">
      <c r="D700" s="51"/>
      <c r="E700" s="52"/>
    </row>
    <row r="701" ht="15.75" customHeight="1">
      <c r="D701" s="51"/>
      <c r="E701" s="52"/>
    </row>
    <row r="702" ht="15.75" customHeight="1">
      <c r="D702" s="51"/>
      <c r="E702" s="52"/>
    </row>
    <row r="703" ht="15.75" customHeight="1">
      <c r="D703" s="51"/>
      <c r="E703" s="52"/>
    </row>
    <row r="704" ht="15.75" customHeight="1">
      <c r="D704" s="51"/>
      <c r="E704" s="52"/>
    </row>
    <row r="705" ht="15.75" customHeight="1">
      <c r="D705" s="51"/>
      <c r="E705" s="52"/>
    </row>
    <row r="706" ht="15.75" customHeight="1">
      <c r="D706" s="51"/>
      <c r="E706" s="52"/>
    </row>
    <row r="707" ht="15.75" customHeight="1">
      <c r="D707" s="51"/>
      <c r="E707" s="52"/>
    </row>
    <row r="708" ht="15.75" customHeight="1">
      <c r="D708" s="51"/>
      <c r="E708" s="52"/>
    </row>
    <row r="709" ht="15.75" customHeight="1">
      <c r="D709" s="51"/>
      <c r="E709" s="52"/>
    </row>
    <row r="710" ht="15.75" customHeight="1">
      <c r="D710" s="51"/>
      <c r="E710" s="52"/>
    </row>
    <row r="711" ht="15.75" customHeight="1">
      <c r="D711" s="51"/>
      <c r="E711" s="52"/>
    </row>
    <row r="712" ht="15.75" customHeight="1">
      <c r="D712" s="51"/>
      <c r="E712" s="52"/>
    </row>
    <row r="713" ht="15.75" customHeight="1">
      <c r="D713" s="51"/>
      <c r="E713" s="52"/>
    </row>
    <row r="714" ht="15.75" customHeight="1">
      <c r="D714" s="51"/>
      <c r="E714" s="52"/>
    </row>
    <row r="715" ht="15.75" customHeight="1">
      <c r="D715" s="51"/>
      <c r="E715" s="52"/>
    </row>
    <row r="716" ht="15.75" customHeight="1">
      <c r="D716" s="51"/>
      <c r="E716" s="52"/>
    </row>
    <row r="717" ht="15.75" customHeight="1">
      <c r="D717" s="51"/>
      <c r="E717" s="52"/>
    </row>
    <row r="718" ht="15.75" customHeight="1">
      <c r="D718" s="51"/>
      <c r="E718" s="52"/>
    </row>
    <row r="719" ht="15.75" customHeight="1">
      <c r="D719" s="51"/>
      <c r="E719" s="52"/>
    </row>
    <row r="720" ht="15.75" customHeight="1">
      <c r="D720" s="51"/>
      <c r="E720" s="52"/>
    </row>
    <row r="721" ht="15.75" customHeight="1">
      <c r="D721" s="51"/>
      <c r="E721" s="52"/>
    </row>
    <row r="722" ht="15.75" customHeight="1">
      <c r="D722" s="51"/>
      <c r="E722" s="52"/>
    </row>
    <row r="723" ht="15.75" customHeight="1">
      <c r="D723" s="51"/>
      <c r="E723" s="52"/>
    </row>
    <row r="724" ht="15.75" customHeight="1">
      <c r="D724" s="51"/>
      <c r="E724" s="52"/>
    </row>
    <row r="725" ht="15.75" customHeight="1">
      <c r="D725" s="51"/>
      <c r="E725" s="52"/>
    </row>
    <row r="726" ht="15.75" customHeight="1">
      <c r="D726" s="51"/>
      <c r="E726" s="52"/>
    </row>
    <row r="727" ht="15.75" customHeight="1">
      <c r="D727" s="51"/>
      <c r="E727" s="52"/>
    </row>
    <row r="728" ht="15.75" customHeight="1">
      <c r="D728" s="51"/>
      <c r="E728" s="52"/>
    </row>
    <row r="729" ht="15.75" customHeight="1">
      <c r="D729" s="51"/>
      <c r="E729" s="52"/>
    </row>
    <row r="730" ht="15.75" customHeight="1">
      <c r="D730" s="51"/>
      <c r="E730" s="52"/>
    </row>
    <row r="731" ht="15.75" customHeight="1">
      <c r="D731" s="51"/>
      <c r="E731" s="52"/>
    </row>
    <row r="732" ht="15.75" customHeight="1">
      <c r="D732" s="51"/>
      <c r="E732" s="52"/>
    </row>
    <row r="733" ht="15.75" customHeight="1">
      <c r="D733" s="51"/>
      <c r="E733" s="52"/>
    </row>
    <row r="734" ht="15.75" customHeight="1">
      <c r="D734" s="51"/>
      <c r="E734" s="52"/>
    </row>
    <row r="735" ht="15.75" customHeight="1">
      <c r="D735" s="51"/>
      <c r="E735" s="52"/>
    </row>
    <row r="736" ht="15.75" customHeight="1">
      <c r="D736" s="51"/>
      <c r="E736" s="52"/>
    </row>
    <row r="737" ht="15.75" customHeight="1">
      <c r="D737" s="51"/>
      <c r="E737" s="52"/>
    </row>
    <row r="738" ht="15.75" customHeight="1">
      <c r="D738" s="51"/>
      <c r="E738" s="52"/>
    </row>
    <row r="739" ht="15.75" customHeight="1">
      <c r="D739" s="51"/>
      <c r="E739" s="52"/>
    </row>
    <row r="740" ht="15.75" customHeight="1">
      <c r="D740" s="51"/>
      <c r="E740" s="52"/>
    </row>
    <row r="741" ht="15.75" customHeight="1">
      <c r="D741" s="51"/>
      <c r="E741" s="52"/>
    </row>
    <row r="742" ht="15.75" customHeight="1">
      <c r="D742" s="51"/>
      <c r="E742" s="52"/>
    </row>
    <row r="743" ht="15.75" customHeight="1">
      <c r="D743" s="51"/>
      <c r="E743" s="52"/>
    </row>
    <row r="744" ht="15.75" customHeight="1">
      <c r="D744" s="51"/>
      <c r="E744" s="52"/>
    </row>
    <row r="745" ht="15.75" customHeight="1">
      <c r="D745" s="51"/>
      <c r="E745" s="52"/>
    </row>
    <row r="746" ht="15.75" customHeight="1">
      <c r="D746" s="51"/>
      <c r="E746" s="52"/>
    </row>
    <row r="747" ht="15.75" customHeight="1">
      <c r="D747" s="51"/>
      <c r="E747" s="52"/>
    </row>
    <row r="748" ht="15.75" customHeight="1">
      <c r="D748" s="51"/>
      <c r="E748" s="52"/>
    </row>
    <row r="749" ht="15.75" customHeight="1">
      <c r="D749" s="51"/>
      <c r="E749" s="52"/>
    </row>
    <row r="750" ht="15.75" customHeight="1">
      <c r="D750" s="51"/>
      <c r="E750" s="52"/>
    </row>
    <row r="751" ht="15.75" customHeight="1">
      <c r="D751" s="51"/>
      <c r="E751" s="52"/>
    </row>
    <row r="752" ht="15.75" customHeight="1">
      <c r="D752" s="51"/>
      <c r="E752" s="52"/>
    </row>
    <row r="753" ht="15.75" customHeight="1">
      <c r="D753" s="51"/>
      <c r="E753" s="52"/>
    </row>
    <row r="754" ht="15.75" customHeight="1">
      <c r="D754" s="51"/>
      <c r="E754" s="52"/>
    </row>
    <row r="755" ht="15.75" customHeight="1">
      <c r="D755" s="51"/>
      <c r="E755" s="52"/>
    </row>
    <row r="756" ht="15.75" customHeight="1">
      <c r="D756" s="51"/>
      <c r="E756" s="52"/>
    </row>
    <row r="757" ht="15.75" customHeight="1">
      <c r="D757" s="51"/>
      <c r="E757" s="52"/>
    </row>
    <row r="758" ht="15.75" customHeight="1">
      <c r="D758" s="51"/>
      <c r="E758" s="52"/>
    </row>
    <row r="759" ht="15.75" customHeight="1">
      <c r="D759" s="51"/>
      <c r="E759" s="52"/>
    </row>
    <row r="760" ht="15.75" customHeight="1">
      <c r="D760" s="51"/>
      <c r="E760" s="52"/>
    </row>
    <row r="761" ht="15.75" customHeight="1">
      <c r="D761" s="51"/>
      <c r="E761" s="52"/>
    </row>
    <row r="762" ht="15.75" customHeight="1">
      <c r="D762" s="51"/>
      <c r="E762" s="52"/>
    </row>
    <row r="763" ht="15.75" customHeight="1">
      <c r="D763" s="51"/>
      <c r="E763" s="52"/>
    </row>
    <row r="764" ht="15.75" customHeight="1">
      <c r="D764" s="51"/>
      <c r="E764" s="52"/>
    </row>
    <row r="765" ht="15.75" customHeight="1">
      <c r="D765" s="51"/>
      <c r="E765" s="52"/>
    </row>
    <row r="766" ht="15.75" customHeight="1">
      <c r="D766" s="51"/>
      <c r="E766" s="52"/>
    </row>
    <row r="767" ht="15.75" customHeight="1">
      <c r="D767" s="51"/>
      <c r="E767" s="52"/>
    </row>
    <row r="768" ht="15.75" customHeight="1">
      <c r="D768" s="51"/>
      <c r="E768" s="52"/>
    </row>
    <row r="769" ht="15.75" customHeight="1">
      <c r="D769" s="51"/>
      <c r="E769" s="52"/>
    </row>
    <row r="770" ht="15.75" customHeight="1">
      <c r="D770" s="51"/>
      <c r="E770" s="52"/>
    </row>
    <row r="771" ht="15.75" customHeight="1">
      <c r="D771" s="51"/>
      <c r="E771" s="52"/>
    </row>
    <row r="772" ht="15.75" customHeight="1">
      <c r="D772" s="51"/>
      <c r="E772" s="52"/>
    </row>
    <row r="773" ht="15.75" customHeight="1">
      <c r="D773" s="51"/>
      <c r="E773" s="52"/>
    </row>
    <row r="774" ht="15.75" customHeight="1">
      <c r="D774" s="51"/>
      <c r="E774" s="52"/>
    </row>
    <row r="775" ht="15.75" customHeight="1">
      <c r="D775" s="51"/>
      <c r="E775" s="52"/>
    </row>
    <row r="776" ht="15.75" customHeight="1">
      <c r="D776" s="51"/>
      <c r="E776" s="52"/>
    </row>
    <row r="777" ht="15.75" customHeight="1">
      <c r="D777" s="51"/>
      <c r="E777" s="52"/>
    </row>
    <row r="778" ht="15.75" customHeight="1">
      <c r="D778" s="51"/>
      <c r="E778" s="52"/>
    </row>
    <row r="779" ht="15.75" customHeight="1">
      <c r="D779" s="51"/>
      <c r="E779" s="52"/>
    </row>
    <row r="780" ht="15.75" customHeight="1">
      <c r="D780" s="51"/>
      <c r="E780" s="52"/>
    </row>
    <row r="781" ht="15.75" customHeight="1">
      <c r="D781" s="51"/>
      <c r="E781" s="52"/>
    </row>
    <row r="782" ht="15.75" customHeight="1">
      <c r="D782" s="51"/>
      <c r="E782" s="52"/>
    </row>
    <row r="783" ht="15.75" customHeight="1">
      <c r="D783" s="51"/>
      <c r="E783" s="52"/>
    </row>
    <row r="784" ht="15.75" customHeight="1">
      <c r="D784" s="51"/>
      <c r="E784" s="52"/>
    </row>
    <row r="785" ht="15.75" customHeight="1">
      <c r="D785" s="51"/>
      <c r="E785" s="52"/>
    </row>
    <row r="786" ht="15.75" customHeight="1">
      <c r="D786" s="51"/>
      <c r="E786" s="52"/>
    </row>
    <row r="787" ht="15.75" customHeight="1">
      <c r="D787" s="51"/>
      <c r="E787" s="52"/>
    </row>
    <row r="788" ht="15.75" customHeight="1">
      <c r="D788" s="51"/>
      <c r="E788" s="52"/>
    </row>
    <row r="789" ht="15.75" customHeight="1">
      <c r="D789" s="51"/>
      <c r="E789" s="52"/>
    </row>
    <row r="790" ht="15.75" customHeight="1">
      <c r="D790" s="51"/>
      <c r="E790" s="52"/>
    </row>
    <row r="791" ht="15.75" customHeight="1">
      <c r="D791" s="51"/>
      <c r="E791" s="52"/>
    </row>
    <row r="792" ht="15.75" customHeight="1">
      <c r="D792" s="51"/>
      <c r="E792" s="52"/>
    </row>
    <row r="793" ht="15.75" customHeight="1">
      <c r="D793" s="51"/>
      <c r="E793" s="52"/>
    </row>
    <row r="794" ht="15.75" customHeight="1">
      <c r="D794" s="51"/>
      <c r="E794" s="52"/>
    </row>
    <row r="795" ht="15.75" customHeight="1">
      <c r="D795" s="51"/>
      <c r="E795" s="52"/>
    </row>
    <row r="796" ht="15.75" customHeight="1">
      <c r="D796" s="51"/>
      <c r="E796" s="52"/>
    </row>
    <row r="797" ht="15.75" customHeight="1">
      <c r="D797" s="51"/>
      <c r="E797" s="52"/>
    </row>
    <row r="798" ht="15.75" customHeight="1">
      <c r="D798" s="51"/>
      <c r="E798" s="52"/>
    </row>
    <row r="799" ht="15.75" customHeight="1">
      <c r="D799" s="51"/>
      <c r="E799" s="52"/>
    </row>
    <row r="800" ht="15.75" customHeight="1">
      <c r="D800" s="51"/>
      <c r="E800" s="52"/>
    </row>
    <row r="801" ht="15.75" customHeight="1">
      <c r="D801" s="51"/>
      <c r="E801" s="52"/>
    </row>
    <row r="802" ht="15.75" customHeight="1">
      <c r="D802" s="51"/>
      <c r="E802" s="52"/>
    </row>
    <row r="803" ht="15.75" customHeight="1">
      <c r="D803" s="51"/>
      <c r="E803" s="52"/>
    </row>
    <row r="804" ht="15.75" customHeight="1">
      <c r="D804" s="51"/>
      <c r="E804" s="52"/>
    </row>
    <row r="805" ht="15.75" customHeight="1">
      <c r="D805" s="51"/>
      <c r="E805" s="52"/>
    </row>
    <row r="806" ht="15.75" customHeight="1">
      <c r="D806" s="51"/>
      <c r="E806" s="52"/>
    </row>
    <row r="807" ht="15.75" customHeight="1">
      <c r="D807" s="51"/>
      <c r="E807" s="52"/>
    </row>
    <row r="808" ht="15.75" customHeight="1">
      <c r="D808" s="51"/>
      <c r="E808" s="52"/>
    </row>
    <row r="809" ht="15.75" customHeight="1">
      <c r="D809" s="51"/>
      <c r="E809" s="52"/>
    </row>
    <row r="810" ht="15.75" customHeight="1">
      <c r="D810" s="51"/>
      <c r="E810" s="52"/>
    </row>
    <row r="811" ht="15.75" customHeight="1">
      <c r="D811" s="51"/>
      <c r="E811" s="52"/>
    </row>
    <row r="812" ht="15.75" customHeight="1">
      <c r="D812" s="51"/>
      <c r="E812" s="52"/>
    </row>
    <row r="813" ht="15.75" customHeight="1">
      <c r="D813" s="51"/>
      <c r="E813" s="52"/>
    </row>
    <row r="814" ht="15.75" customHeight="1">
      <c r="D814" s="51"/>
      <c r="E814" s="52"/>
    </row>
    <row r="815" ht="15.75" customHeight="1">
      <c r="D815" s="51"/>
      <c r="E815" s="52"/>
    </row>
    <row r="816" ht="15.75" customHeight="1">
      <c r="D816" s="51"/>
      <c r="E816" s="52"/>
    </row>
    <row r="817" ht="15.75" customHeight="1">
      <c r="D817" s="51"/>
      <c r="E817" s="52"/>
    </row>
    <row r="818" ht="15.75" customHeight="1">
      <c r="D818" s="51"/>
      <c r="E818" s="52"/>
    </row>
    <row r="819" ht="15.75" customHeight="1">
      <c r="D819" s="51"/>
      <c r="E819" s="52"/>
    </row>
    <row r="820" ht="15.75" customHeight="1">
      <c r="D820" s="51"/>
      <c r="E820" s="52"/>
    </row>
    <row r="821" ht="15.75" customHeight="1">
      <c r="D821" s="51"/>
      <c r="E821" s="52"/>
    </row>
    <row r="822" ht="15.75" customHeight="1">
      <c r="D822" s="51"/>
      <c r="E822" s="52"/>
    </row>
    <row r="823" ht="15.75" customHeight="1">
      <c r="D823" s="51"/>
      <c r="E823" s="52"/>
    </row>
    <row r="824" ht="15.75" customHeight="1">
      <c r="D824" s="51"/>
      <c r="E824" s="52"/>
    </row>
    <row r="825" ht="15.75" customHeight="1">
      <c r="D825" s="51"/>
      <c r="E825" s="52"/>
    </row>
    <row r="826" ht="15.75" customHeight="1">
      <c r="D826" s="51"/>
      <c r="E826" s="52"/>
    </row>
    <row r="827" ht="15.75" customHeight="1">
      <c r="D827" s="51"/>
      <c r="E827" s="52"/>
    </row>
    <row r="828" ht="15.75" customHeight="1">
      <c r="D828" s="51"/>
      <c r="E828" s="52"/>
    </row>
    <row r="829" ht="15.75" customHeight="1">
      <c r="D829" s="51"/>
      <c r="E829" s="52"/>
    </row>
    <row r="830" ht="15.75" customHeight="1">
      <c r="D830" s="51"/>
      <c r="E830" s="52"/>
    </row>
    <row r="831" ht="15.75" customHeight="1">
      <c r="D831" s="51"/>
      <c r="E831" s="52"/>
    </row>
    <row r="832" ht="15.75" customHeight="1">
      <c r="D832" s="51"/>
      <c r="E832" s="52"/>
    </row>
    <row r="833" ht="15.75" customHeight="1">
      <c r="D833" s="51"/>
      <c r="E833" s="52"/>
    </row>
    <row r="834" ht="15.75" customHeight="1">
      <c r="D834" s="51"/>
      <c r="E834" s="52"/>
    </row>
    <row r="835" ht="15.75" customHeight="1">
      <c r="D835" s="51"/>
      <c r="E835" s="52"/>
    </row>
    <row r="836" ht="15.75" customHeight="1">
      <c r="D836" s="51"/>
      <c r="E836" s="52"/>
    </row>
    <row r="837" ht="15.75" customHeight="1">
      <c r="D837" s="51"/>
      <c r="E837" s="52"/>
    </row>
    <row r="838" ht="15.75" customHeight="1">
      <c r="D838" s="51"/>
      <c r="E838" s="52"/>
    </row>
    <row r="839" ht="15.75" customHeight="1">
      <c r="D839" s="51"/>
      <c r="E839" s="52"/>
    </row>
    <row r="840" ht="15.75" customHeight="1">
      <c r="D840" s="51"/>
      <c r="E840" s="52"/>
    </row>
    <row r="841" ht="15.75" customHeight="1">
      <c r="D841" s="51"/>
      <c r="E841" s="52"/>
    </row>
    <row r="842" ht="15.75" customHeight="1">
      <c r="D842" s="51"/>
      <c r="E842" s="52"/>
    </row>
    <row r="843" ht="15.75" customHeight="1">
      <c r="D843" s="51"/>
      <c r="E843" s="52"/>
    </row>
    <row r="844" ht="15.75" customHeight="1">
      <c r="D844" s="51"/>
      <c r="E844" s="52"/>
    </row>
    <row r="845" ht="15.75" customHeight="1">
      <c r="D845" s="51"/>
      <c r="E845" s="52"/>
    </row>
    <row r="846" ht="15.75" customHeight="1">
      <c r="D846" s="51"/>
      <c r="E846" s="52"/>
    </row>
    <row r="847" ht="15.75" customHeight="1">
      <c r="D847" s="51"/>
      <c r="E847" s="52"/>
    </row>
    <row r="848" ht="15.75" customHeight="1">
      <c r="D848" s="51"/>
      <c r="E848" s="52"/>
    </row>
    <row r="849" ht="15.75" customHeight="1">
      <c r="D849" s="51"/>
      <c r="E849" s="52"/>
    </row>
    <row r="850" ht="15.75" customHeight="1">
      <c r="D850" s="51"/>
      <c r="E850" s="52"/>
    </row>
    <row r="851" ht="15.75" customHeight="1">
      <c r="D851" s="51"/>
      <c r="E851" s="52"/>
    </row>
    <row r="852" ht="15.75" customHeight="1">
      <c r="D852" s="51"/>
      <c r="E852" s="52"/>
    </row>
    <row r="853" ht="15.75" customHeight="1">
      <c r="D853" s="51"/>
      <c r="E853" s="52"/>
    </row>
    <row r="854" ht="15.75" customHeight="1">
      <c r="D854" s="51"/>
      <c r="E854" s="52"/>
    </row>
    <row r="855" ht="15.75" customHeight="1">
      <c r="D855" s="51"/>
      <c r="E855" s="52"/>
    </row>
    <row r="856" ht="15.75" customHeight="1">
      <c r="D856" s="51"/>
      <c r="E856" s="52"/>
    </row>
    <row r="857" ht="15.75" customHeight="1">
      <c r="D857" s="51"/>
      <c r="E857" s="52"/>
    </row>
    <row r="858" ht="15.75" customHeight="1">
      <c r="D858" s="51"/>
      <c r="E858" s="52"/>
    </row>
    <row r="859" ht="15.75" customHeight="1">
      <c r="D859" s="51"/>
      <c r="E859" s="52"/>
    </row>
    <row r="860" ht="15.75" customHeight="1">
      <c r="D860" s="51"/>
      <c r="E860" s="52"/>
    </row>
    <row r="861" ht="15.75" customHeight="1">
      <c r="D861" s="51"/>
      <c r="E861" s="52"/>
    </row>
    <row r="862" ht="15.75" customHeight="1">
      <c r="D862" s="51"/>
      <c r="E862" s="52"/>
    </row>
    <row r="863" ht="15.75" customHeight="1">
      <c r="D863" s="51"/>
      <c r="E863" s="52"/>
    </row>
    <row r="864" ht="15.75" customHeight="1">
      <c r="D864" s="51"/>
      <c r="E864" s="52"/>
    </row>
    <row r="865" ht="15.75" customHeight="1">
      <c r="D865" s="51"/>
      <c r="E865" s="52"/>
    </row>
    <row r="866" ht="15.75" customHeight="1">
      <c r="D866" s="51"/>
      <c r="E866" s="52"/>
    </row>
    <row r="867" ht="15.75" customHeight="1">
      <c r="D867" s="51"/>
      <c r="E867" s="52"/>
    </row>
    <row r="868" ht="15.75" customHeight="1">
      <c r="D868" s="51"/>
      <c r="E868" s="52"/>
    </row>
    <row r="869" ht="15.75" customHeight="1">
      <c r="D869" s="51"/>
      <c r="E869" s="52"/>
    </row>
    <row r="870" ht="15.75" customHeight="1">
      <c r="D870" s="51"/>
      <c r="E870" s="52"/>
    </row>
    <row r="871" ht="15.75" customHeight="1">
      <c r="D871" s="51"/>
      <c r="E871" s="52"/>
    </row>
    <row r="872" ht="15.75" customHeight="1">
      <c r="D872" s="51"/>
      <c r="E872" s="52"/>
    </row>
    <row r="873" ht="15.75" customHeight="1">
      <c r="D873" s="51"/>
      <c r="E873" s="52"/>
    </row>
    <row r="874" ht="15.75" customHeight="1">
      <c r="D874" s="51"/>
      <c r="E874" s="52"/>
    </row>
    <row r="875" ht="15.75" customHeight="1">
      <c r="D875" s="51"/>
      <c r="E875" s="52"/>
    </row>
    <row r="876" ht="15.75" customHeight="1">
      <c r="D876" s="51"/>
      <c r="E876" s="52"/>
    </row>
    <row r="877" ht="15.75" customHeight="1">
      <c r="D877" s="51"/>
      <c r="E877" s="52"/>
    </row>
    <row r="878" ht="15.75" customHeight="1">
      <c r="D878" s="51"/>
      <c r="E878" s="52"/>
    </row>
    <row r="879" ht="15.75" customHeight="1">
      <c r="D879" s="51"/>
      <c r="E879" s="52"/>
    </row>
    <row r="880" ht="15.75" customHeight="1">
      <c r="D880" s="51"/>
      <c r="E880" s="52"/>
    </row>
    <row r="881" ht="15.75" customHeight="1">
      <c r="D881" s="51"/>
      <c r="E881" s="52"/>
    </row>
    <row r="882" ht="15.75" customHeight="1">
      <c r="D882" s="51"/>
      <c r="E882" s="52"/>
    </row>
    <row r="883" ht="15.75" customHeight="1">
      <c r="D883" s="51"/>
      <c r="E883" s="52"/>
    </row>
    <row r="884" ht="15.75" customHeight="1">
      <c r="D884" s="51"/>
      <c r="E884" s="52"/>
    </row>
    <row r="885" ht="15.75" customHeight="1">
      <c r="D885" s="51"/>
      <c r="E885" s="52"/>
    </row>
    <row r="886" ht="15.75" customHeight="1">
      <c r="D886" s="51"/>
      <c r="E886" s="52"/>
    </row>
    <row r="887" ht="15.75" customHeight="1">
      <c r="D887" s="51"/>
      <c r="E887" s="52"/>
    </row>
    <row r="888" ht="15.75" customHeight="1">
      <c r="D888" s="51"/>
      <c r="E888" s="52"/>
    </row>
    <row r="889" ht="15.75" customHeight="1">
      <c r="D889" s="51"/>
      <c r="E889" s="52"/>
    </row>
    <row r="890" ht="15.75" customHeight="1">
      <c r="D890" s="51"/>
      <c r="E890" s="52"/>
    </row>
    <row r="891" ht="15.75" customHeight="1">
      <c r="D891" s="51"/>
      <c r="E891" s="52"/>
    </row>
    <row r="892" ht="15.75" customHeight="1">
      <c r="D892" s="51"/>
      <c r="E892" s="52"/>
    </row>
    <row r="893" ht="15.75" customHeight="1">
      <c r="D893" s="51"/>
      <c r="E893" s="52"/>
    </row>
    <row r="894" ht="15.75" customHeight="1">
      <c r="D894" s="51"/>
      <c r="E894" s="52"/>
    </row>
    <row r="895" ht="15.75" customHeight="1">
      <c r="D895" s="51"/>
      <c r="E895" s="52"/>
    </row>
    <row r="896" ht="15.75" customHeight="1">
      <c r="D896" s="51"/>
      <c r="E896" s="52"/>
    </row>
    <row r="897" ht="15.75" customHeight="1">
      <c r="D897" s="51"/>
      <c r="E897" s="52"/>
    </row>
    <row r="898" ht="15.75" customHeight="1">
      <c r="D898" s="51"/>
      <c r="E898" s="52"/>
    </row>
    <row r="899" ht="15.75" customHeight="1">
      <c r="D899" s="51"/>
      <c r="E899" s="52"/>
    </row>
    <row r="900" ht="15.75" customHeight="1">
      <c r="D900" s="51"/>
      <c r="E900" s="52"/>
    </row>
    <row r="901" ht="15.75" customHeight="1">
      <c r="D901" s="51"/>
      <c r="E901" s="52"/>
    </row>
    <row r="902" ht="15.75" customHeight="1">
      <c r="D902" s="51"/>
      <c r="E902" s="52"/>
    </row>
    <row r="903" ht="15.75" customHeight="1">
      <c r="D903" s="51"/>
      <c r="E903" s="52"/>
    </row>
    <row r="904" ht="15.75" customHeight="1">
      <c r="D904" s="51"/>
      <c r="E904" s="52"/>
    </row>
    <row r="905" ht="15.75" customHeight="1">
      <c r="D905" s="51"/>
      <c r="E905" s="52"/>
    </row>
    <row r="906" ht="15.75" customHeight="1">
      <c r="D906" s="51"/>
      <c r="E906" s="52"/>
    </row>
    <row r="907" ht="15.75" customHeight="1">
      <c r="D907" s="51"/>
      <c r="E907" s="52"/>
    </row>
    <row r="908" ht="15.75" customHeight="1">
      <c r="D908" s="51"/>
      <c r="E908" s="52"/>
    </row>
    <row r="909" ht="15.75" customHeight="1">
      <c r="D909" s="51"/>
      <c r="E909" s="52"/>
    </row>
    <row r="910" ht="15.75" customHeight="1">
      <c r="D910" s="51"/>
      <c r="E910" s="52"/>
    </row>
    <row r="911" ht="15.75" customHeight="1">
      <c r="D911" s="51"/>
      <c r="E911" s="52"/>
    </row>
    <row r="912" ht="15.75" customHeight="1">
      <c r="D912" s="51"/>
      <c r="E912" s="52"/>
    </row>
    <row r="913" ht="15.75" customHeight="1">
      <c r="D913" s="51"/>
      <c r="E913" s="52"/>
    </row>
    <row r="914" ht="15.75" customHeight="1">
      <c r="D914" s="51"/>
      <c r="E914" s="52"/>
    </row>
    <row r="915" ht="15.75" customHeight="1">
      <c r="D915" s="51"/>
      <c r="E915" s="52"/>
    </row>
    <row r="916" ht="15.75" customHeight="1">
      <c r="D916" s="51"/>
      <c r="E916" s="52"/>
    </row>
    <row r="917" ht="15.75" customHeight="1">
      <c r="D917" s="51"/>
      <c r="E917" s="52"/>
    </row>
    <row r="918" ht="15.75" customHeight="1">
      <c r="D918" s="51"/>
      <c r="E918" s="52"/>
    </row>
    <row r="919" ht="15.75" customHeight="1">
      <c r="D919" s="51"/>
      <c r="E919" s="52"/>
    </row>
    <row r="920" ht="15.75" customHeight="1">
      <c r="D920" s="51"/>
      <c r="E920" s="52"/>
    </row>
    <row r="921" ht="15.75" customHeight="1">
      <c r="D921" s="51"/>
      <c r="E921" s="52"/>
    </row>
    <row r="922" ht="15.75" customHeight="1">
      <c r="D922" s="51"/>
      <c r="E922" s="52"/>
    </row>
    <row r="923" ht="15.75" customHeight="1">
      <c r="D923" s="51"/>
      <c r="E923" s="52"/>
    </row>
    <row r="924" ht="15.75" customHeight="1">
      <c r="D924" s="51"/>
      <c r="E924" s="52"/>
    </row>
    <row r="925" ht="15.75" customHeight="1">
      <c r="D925" s="51"/>
      <c r="E925" s="52"/>
    </row>
    <row r="926" ht="15.75" customHeight="1">
      <c r="D926" s="51"/>
      <c r="E926" s="52"/>
    </row>
    <row r="927" ht="15.75" customHeight="1">
      <c r="D927" s="51"/>
      <c r="E927" s="52"/>
    </row>
    <row r="928" ht="15.75" customHeight="1">
      <c r="D928" s="51"/>
      <c r="E928" s="52"/>
    </row>
    <row r="929" ht="15.75" customHeight="1">
      <c r="D929" s="51"/>
      <c r="E929" s="52"/>
    </row>
    <row r="930" ht="15.75" customHeight="1">
      <c r="D930" s="51"/>
      <c r="E930" s="52"/>
    </row>
    <row r="931" ht="15.75" customHeight="1">
      <c r="D931" s="51"/>
      <c r="E931" s="52"/>
    </row>
    <row r="932" ht="15.75" customHeight="1">
      <c r="D932" s="51"/>
      <c r="E932" s="52"/>
    </row>
    <row r="933" ht="15.75" customHeight="1">
      <c r="D933" s="51"/>
      <c r="E933" s="52"/>
    </row>
    <row r="934" ht="15.75" customHeight="1">
      <c r="D934" s="51"/>
      <c r="E934" s="52"/>
    </row>
    <row r="935" ht="15.75" customHeight="1">
      <c r="D935" s="51"/>
      <c r="E935" s="52"/>
    </row>
    <row r="936" ht="15.75" customHeight="1">
      <c r="D936" s="51"/>
      <c r="E936" s="52"/>
    </row>
    <row r="937" ht="15.75" customHeight="1">
      <c r="D937" s="51"/>
      <c r="E937" s="52"/>
    </row>
    <row r="938" ht="15.75" customHeight="1">
      <c r="D938" s="51"/>
      <c r="E938" s="52"/>
    </row>
    <row r="939" ht="15.75" customHeight="1">
      <c r="D939" s="51"/>
      <c r="E939" s="52"/>
    </row>
    <row r="940" ht="15.75" customHeight="1">
      <c r="D940" s="51"/>
      <c r="E940" s="52"/>
    </row>
    <row r="941" ht="15.75" customHeight="1">
      <c r="D941" s="51"/>
      <c r="E941" s="52"/>
    </row>
    <row r="942" ht="15.75" customHeight="1">
      <c r="D942" s="51"/>
      <c r="E942" s="52"/>
    </row>
    <row r="943" ht="15.75" customHeight="1">
      <c r="D943" s="51"/>
      <c r="E943" s="52"/>
    </row>
    <row r="944" ht="15.75" customHeight="1">
      <c r="D944" s="51"/>
      <c r="E944" s="52"/>
    </row>
    <row r="945" ht="15.75" customHeight="1">
      <c r="D945" s="51"/>
      <c r="E945" s="52"/>
    </row>
    <row r="946" ht="15.75" customHeight="1">
      <c r="D946" s="51"/>
      <c r="E946" s="52"/>
    </row>
    <row r="947" ht="15.75" customHeight="1">
      <c r="D947" s="51"/>
      <c r="E947" s="52"/>
    </row>
    <row r="948" ht="15.75" customHeight="1">
      <c r="D948" s="51"/>
      <c r="E948" s="52"/>
    </row>
    <row r="949" ht="15.75" customHeight="1">
      <c r="D949" s="51"/>
      <c r="E949" s="52"/>
    </row>
    <row r="950" ht="15.75" customHeight="1">
      <c r="D950" s="51"/>
      <c r="E950" s="52"/>
    </row>
    <row r="951" ht="15.75" customHeight="1">
      <c r="D951" s="51"/>
      <c r="E951" s="52"/>
    </row>
    <row r="952" ht="15.75" customHeight="1">
      <c r="D952" s="51"/>
      <c r="E952" s="52"/>
    </row>
    <row r="953" ht="15.75" customHeight="1">
      <c r="D953" s="51"/>
      <c r="E953" s="52"/>
    </row>
    <row r="954" ht="15.75" customHeight="1">
      <c r="D954" s="51"/>
      <c r="E954" s="52"/>
    </row>
    <row r="955" ht="15.75" customHeight="1">
      <c r="D955" s="51"/>
      <c r="E955" s="52"/>
    </row>
    <row r="956" ht="15.75" customHeight="1">
      <c r="D956" s="51"/>
      <c r="E956" s="52"/>
    </row>
    <row r="957" ht="15.75" customHeight="1">
      <c r="D957" s="51"/>
      <c r="E957" s="52"/>
    </row>
    <row r="958" ht="15.75" customHeight="1">
      <c r="D958" s="51"/>
      <c r="E958" s="52"/>
    </row>
    <row r="959" ht="15.75" customHeight="1">
      <c r="D959" s="51"/>
      <c r="E959" s="52"/>
    </row>
    <row r="960" ht="15.75" customHeight="1">
      <c r="D960" s="51"/>
      <c r="E960" s="52"/>
    </row>
    <row r="961" ht="15.75" customHeight="1">
      <c r="D961" s="51"/>
      <c r="E961" s="52"/>
    </row>
    <row r="962" ht="15.75" customHeight="1">
      <c r="D962" s="51"/>
      <c r="E962" s="52"/>
    </row>
    <row r="963" ht="15.75" customHeight="1">
      <c r="D963" s="51"/>
      <c r="E963" s="52"/>
    </row>
    <row r="964" ht="15.75" customHeight="1">
      <c r="D964" s="51"/>
      <c r="E964" s="52"/>
    </row>
    <row r="965" ht="15.75" customHeight="1">
      <c r="D965" s="51"/>
      <c r="E965" s="52"/>
    </row>
    <row r="966" ht="15.75" customHeight="1">
      <c r="D966" s="51"/>
      <c r="E966" s="52"/>
    </row>
    <row r="967" ht="15.75" customHeight="1">
      <c r="D967" s="51"/>
      <c r="E967" s="52"/>
    </row>
    <row r="968" ht="15.75" customHeight="1">
      <c r="D968" s="51"/>
      <c r="E968" s="52"/>
    </row>
    <row r="969" ht="15.75" customHeight="1">
      <c r="D969" s="51"/>
      <c r="E969" s="52"/>
    </row>
    <row r="970" ht="15.75" customHeight="1">
      <c r="D970" s="51"/>
      <c r="E970" s="52"/>
    </row>
    <row r="971" ht="15.75" customHeight="1">
      <c r="D971" s="51"/>
      <c r="E971" s="52"/>
    </row>
    <row r="972" ht="15.75" customHeight="1">
      <c r="D972" s="51"/>
      <c r="E972" s="52"/>
    </row>
    <row r="973" ht="15.75" customHeight="1">
      <c r="D973" s="51"/>
      <c r="E973" s="52"/>
    </row>
    <row r="974" ht="15.75" customHeight="1">
      <c r="D974" s="51"/>
      <c r="E974" s="52"/>
    </row>
    <row r="975" ht="15.75" customHeight="1">
      <c r="D975" s="51"/>
      <c r="E975" s="52"/>
    </row>
    <row r="976" ht="15.75" customHeight="1">
      <c r="D976" s="51"/>
      <c r="E976" s="52"/>
    </row>
    <row r="977" ht="15.75" customHeight="1">
      <c r="D977" s="51"/>
      <c r="E977" s="52"/>
    </row>
    <row r="978" ht="15.75" customHeight="1">
      <c r="D978" s="51"/>
      <c r="E978" s="52"/>
    </row>
    <row r="979" ht="15.75" customHeight="1">
      <c r="D979" s="51"/>
      <c r="E979" s="52"/>
    </row>
    <row r="980" ht="15.75" customHeight="1">
      <c r="D980" s="51"/>
      <c r="E980" s="52"/>
    </row>
    <row r="981" ht="15.75" customHeight="1">
      <c r="D981" s="51"/>
      <c r="E981" s="52"/>
    </row>
    <row r="982" ht="15.75" customHeight="1">
      <c r="D982" s="51"/>
      <c r="E982" s="52"/>
    </row>
    <row r="983" ht="15.75" customHeight="1">
      <c r="D983" s="51"/>
      <c r="E983" s="52"/>
    </row>
    <row r="984" ht="15.75" customHeight="1">
      <c r="D984" s="51"/>
      <c r="E984" s="52"/>
    </row>
    <row r="985" ht="15.75" customHeight="1">
      <c r="D985" s="51"/>
      <c r="E985" s="52"/>
    </row>
    <row r="986" ht="15.75" customHeight="1">
      <c r="D986" s="51"/>
      <c r="E986" s="52"/>
    </row>
    <row r="987" ht="15.75" customHeight="1">
      <c r="D987" s="51"/>
      <c r="E987" s="52"/>
    </row>
    <row r="988" ht="15.75" customHeight="1">
      <c r="D988" s="51"/>
      <c r="E988" s="52"/>
    </row>
    <row r="989" ht="15.75" customHeight="1">
      <c r="D989" s="51"/>
      <c r="E989" s="52"/>
    </row>
    <row r="990" ht="15.75" customHeight="1">
      <c r="D990" s="51"/>
      <c r="E990" s="52"/>
    </row>
    <row r="991" ht="15.75" customHeight="1">
      <c r="D991" s="51"/>
      <c r="E991" s="52"/>
    </row>
    <row r="992" ht="15.75" customHeight="1">
      <c r="D992" s="51"/>
      <c r="E992" s="52"/>
    </row>
    <row r="993" ht="15.75" customHeight="1">
      <c r="D993" s="51"/>
      <c r="E993" s="52"/>
    </row>
    <row r="994" ht="15.75" customHeight="1">
      <c r="D994" s="51"/>
      <c r="E994" s="52"/>
    </row>
    <row r="995" ht="15.75" customHeight="1">
      <c r="D995" s="51"/>
      <c r="E995" s="52"/>
    </row>
    <row r="996" ht="15.75" customHeight="1">
      <c r="D996" s="51"/>
      <c r="E996" s="52"/>
    </row>
    <row r="997" ht="15.75" customHeight="1">
      <c r="D997" s="51"/>
      <c r="E997" s="52"/>
    </row>
    <row r="998" ht="15.75" customHeight="1">
      <c r="D998" s="51"/>
      <c r="E998" s="52"/>
    </row>
    <row r="999" ht="15.75" customHeight="1">
      <c r="D999" s="51"/>
      <c r="E999" s="52"/>
    </row>
    <row r="1000" ht="15.75" customHeight="1">
      <c r="D1000" s="51"/>
      <c r="E1000" s="52"/>
    </row>
  </sheetData>
  <conditionalFormatting sqref="C27">
    <cfRule type="expression" dxfId="1" priority="1">
      <formula>C27="HÁ VAGAS"</formula>
    </cfRule>
  </conditionalFormatting>
  <conditionalFormatting sqref="C27">
    <cfRule type="expression" dxfId="0" priority="2">
      <formula>C27="LOTADO"</formula>
    </cfRule>
  </conditionalFormatting>
  <conditionalFormatting sqref="D18:D25">
    <cfRule type="expression" dxfId="1" priority="3">
      <formula>D18="LIVRE"</formula>
    </cfRule>
  </conditionalFormatting>
  <conditionalFormatting sqref="D18:D25">
    <cfRule type="expression" dxfId="0" priority="4">
      <formula>D18="SEM VAGA"</formula>
    </cfRule>
  </conditionalFormatting>
  <conditionalFormatting sqref="D18:D25">
    <cfRule type="expression" dxfId="6" priority="5">
      <formula>D18="UMA VAGA"</formula>
    </cfRule>
  </conditionalFormatting>
  <conditionalFormatting sqref="D22">
    <cfRule type="expression" dxfId="7" priority="6">
      <formula>E22="UMA VAGA"</formula>
    </cfRule>
  </conditionalFormatting>
  <conditionalFormatting sqref="D22">
    <cfRule type="expression" dxfId="7" priority="7">
      <formula>E22="DUAS VAGAS"</formula>
    </cfRule>
  </conditionalFormatting>
  <conditionalFormatting sqref="D22">
    <cfRule type="expression" dxfId="8" priority="8">
      <formula>E22="TRÊS VAGAS"</formula>
    </cfRule>
  </conditionalFormatting>
  <conditionalFormatting sqref="D22">
    <cfRule type="expression" dxfId="8" priority="9">
      <formula>E22="QUATRO VAGAS"</formula>
    </cfRule>
  </conditionalFormatting>
  <conditionalFormatting sqref="D22">
    <cfRule type="expression" dxfId="6" priority="10">
      <formula>D22="CINCO VAGAS"</formula>
    </cfRule>
  </conditionalFormatting>
  <conditionalFormatting sqref="D22">
    <cfRule type="expression" dxfId="6" priority="11">
      <formula>D22="SEIS VAGAS"</formula>
    </cfRule>
  </conditionalFormatting>
  <conditionalFormatting sqref="I27">
    <cfRule type="expression" dxfId="1" priority="12">
      <formula>I27="HÁ VAGAS"</formula>
    </cfRule>
  </conditionalFormatting>
  <conditionalFormatting sqref="I27">
    <cfRule type="expression" dxfId="0" priority="13">
      <formula>I27="LOTADO"</formula>
    </cfRule>
  </conditionalFormatting>
  <conditionalFormatting sqref="J18:J25">
    <cfRule type="expression" dxfId="1" priority="14">
      <formula>J18="LIVRE"</formula>
    </cfRule>
  </conditionalFormatting>
  <conditionalFormatting sqref="J18:J25">
    <cfRule type="expression" dxfId="0" priority="15">
      <formula>J18="SEM VAGA"</formula>
    </cfRule>
  </conditionalFormatting>
  <conditionalFormatting sqref="J18:J25">
    <cfRule type="expression" dxfId="6" priority="16">
      <formula>J18="UMA VAGA"</formula>
    </cfRule>
  </conditionalFormatting>
  <conditionalFormatting sqref="J22">
    <cfRule type="expression" dxfId="7" priority="17">
      <formula>K22="UMA VAGA"</formula>
    </cfRule>
  </conditionalFormatting>
  <conditionalFormatting sqref="J22">
    <cfRule type="expression" dxfId="7" priority="18">
      <formula>K22="DUAS VAGAS"</formula>
    </cfRule>
  </conditionalFormatting>
  <conditionalFormatting sqref="J22">
    <cfRule type="expression" dxfId="8" priority="19">
      <formula>K22="TRÊS VAGAS"</formula>
    </cfRule>
  </conditionalFormatting>
  <conditionalFormatting sqref="J22">
    <cfRule type="expression" dxfId="8" priority="20">
      <formula>K22="QUATRO VAGAS"</formula>
    </cfRule>
  </conditionalFormatting>
  <conditionalFormatting sqref="J22">
    <cfRule type="expression" dxfId="6" priority="21">
      <formula>J22="CINCO VAGAS"</formula>
    </cfRule>
  </conditionalFormatting>
  <conditionalFormatting sqref="J22">
    <cfRule type="expression" dxfId="6" priority="22">
      <formula>J22="SEIS VAGAS"</formula>
    </cfRule>
  </conditionalFormatting>
  <conditionalFormatting sqref="O27">
    <cfRule type="expression" dxfId="1" priority="23">
      <formula>O27="HÁ VAGAS"</formula>
    </cfRule>
  </conditionalFormatting>
  <conditionalFormatting sqref="O27">
    <cfRule type="expression" dxfId="0" priority="24">
      <formula>O27="LOTADO"</formula>
    </cfRule>
  </conditionalFormatting>
  <conditionalFormatting sqref="P18:P25">
    <cfRule type="expression" dxfId="1" priority="25">
      <formula>P18="LIVRE"</formula>
    </cfRule>
  </conditionalFormatting>
  <conditionalFormatting sqref="P18:P25">
    <cfRule type="expression" dxfId="0" priority="26">
      <formula>P18="SEM VAGA"</formula>
    </cfRule>
  </conditionalFormatting>
  <conditionalFormatting sqref="P18:P25">
    <cfRule type="expression" dxfId="6" priority="27">
      <formula>P18="UMA VAGA"</formula>
    </cfRule>
  </conditionalFormatting>
  <conditionalFormatting sqref="P22">
    <cfRule type="expression" dxfId="7" priority="28">
      <formula>Q22="UMA VAGA"</formula>
    </cfRule>
  </conditionalFormatting>
  <conditionalFormatting sqref="P22">
    <cfRule type="expression" dxfId="7" priority="29">
      <formula>Q22="DUAS VAGAS"</formula>
    </cfRule>
  </conditionalFormatting>
  <conditionalFormatting sqref="P22">
    <cfRule type="expression" dxfId="8" priority="30">
      <formula>Q22="TRÊS VAGAS"</formula>
    </cfRule>
  </conditionalFormatting>
  <conditionalFormatting sqref="P22">
    <cfRule type="expression" dxfId="8" priority="31">
      <formula>Q22="QUATRO VAGAS"</formula>
    </cfRule>
  </conditionalFormatting>
  <conditionalFormatting sqref="P22">
    <cfRule type="expression" dxfId="6" priority="32">
      <formula>P22="CINCO VAGAS"</formula>
    </cfRule>
  </conditionalFormatting>
  <conditionalFormatting sqref="P22">
    <cfRule type="expression" dxfId="6" priority="33">
      <formula>P22="SEIS VAGAS"</formula>
    </cfRule>
  </conditionalFormatting>
  <conditionalFormatting sqref="U27">
    <cfRule type="expression" dxfId="1" priority="34">
      <formula>U27="HÁ VAGAS"</formula>
    </cfRule>
  </conditionalFormatting>
  <conditionalFormatting sqref="U27">
    <cfRule type="expression" dxfId="0" priority="35">
      <formula>U27="LOTADO"</formula>
    </cfRule>
  </conditionalFormatting>
  <conditionalFormatting sqref="V18:V25">
    <cfRule type="expression" dxfId="1" priority="36">
      <formula>V18="LIVRE"</formula>
    </cfRule>
  </conditionalFormatting>
  <conditionalFormatting sqref="V18:V25">
    <cfRule type="expression" dxfId="0" priority="37">
      <formula>V18="SEM VAGA"</formula>
    </cfRule>
  </conditionalFormatting>
  <conditionalFormatting sqref="V18:V25">
    <cfRule type="expression" dxfId="6" priority="38">
      <formula>V18="UMA VAGA"</formula>
    </cfRule>
  </conditionalFormatting>
  <conditionalFormatting sqref="V22">
    <cfRule type="expression" dxfId="7" priority="39">
      <formula>W22="UMA VAGA"</formula>
    </cfRule>
  </conditionalFormatting>
  <conditionalFormatting sqref="V22">
    <cfRule type="expression" dxfId="7" priority="40">
      <formula>W22="DUAS VAGAS"</formula>
    </cfRule>
  </conditionalFormatting>
  <conditionalFormatting sqref="V22">
    <cfRule type="expression" dxfId="8" priority="41">
      <formula>W22="TRÊS VAGAS"</formula>
    </cfRule>
  </conditionalFormatting>
  <conditionalFormatting sqref="V22">
    <cfRule type="expression" dxfId="8" priority="42">
      <formula>W22="QUATRO VAGAS"</formula>
    </cfRule>
  </conditionalFormatting>
  <conditionalFormatting sqref="V22">
    <cfRule type="expression" dxfId="6" priority="43">
      <formula>V22="CINCO VAGAS"</formula>
    </cfRule>
  </conditionalFormatting>
  <conditionalFormatting sqref="V22">
    <cfRule type="expression" dxfId="6" priority="44">
      <formula>V22="SEIS VAGAS"</formula>
    </cfRule>
  </conditionalFormatting>
  <dataValidations>
    <dataValidation type="list" allowBlank="1" showErrorMessage="1" sqref="D5:D16 J5:J16 P5:P16 V5:V16">
      <formula1>"DES. GAMES I,DES. GAMES II,DES. GAMES 3D,ROB. STARTER,ROB. LEVEL-UP,ROB. FASES,ROB. ARDUINO,ROBOGAME,LEGOBOT,NOVO1,NOVO2,NOVO3,---"</formula1>
    </dataValidation>
  </dataValidations>
  <printOptions/>
  <pageMargins bottom="0.787401575" footer="0.0" header="0.0" left="0.511811024" right="0.511811024" top="0.787401575"/>
  <pageSetup orientation="landscape"/>
  <drawing r:id="rId1"/>
</worksheet>
</file>